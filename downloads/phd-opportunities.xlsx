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6874c1ecd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rtlist" sheetId="1" r:id="R66b3a3f59fd445bc"/>
    <x:sheet xmlns:r="http://schemas.openxmlformats.org/officeDocument/2006/relationships" name="All leads" sheetId="2" r:id="R2ff95749af75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0"/>
  </x:numFmts>
  <x:fonts count="6">
    <x:font>
      <x:sz val="11"/>
      <x:name val="Carlito"/>
    </x:font>
    <x:font>
      <x:sz val="11"/>
      <x:color rgb="FF233247"/>
      <x:name val="Arial"/>
    </x:font>
    <x:font>
      <x:b/>
      <x:sz val="16"/>
      <x:color rgb="FF233247"/>
      <x:name val="Arial"/>
    </x:font>
    <x:font>
      <x:i/>
      <x:sz val="11"/>
      <x:color rgb="FF233247"/>
      <x:name val="Arial"/>
    </x:font>
    <x:font>
      <x:b/>
      <x:sz val="14"/>
      <x:color rgb="FF233247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5FA"/>
      </x:patternFill>
    </x:fill>
    <x:fill>
      <x:patternFill patternType="solid">
        <x:fgColor rgb="FFEEF1F5"/>
      </x:patternFill>
    </x:fill>
    <x:fill>
      <x:patternFill patternType="solid">
        <x:fgColor rgb="FFFFF4D6"/>
      </x:patternFill>
    </x:fill>
    <x:fill>
      <x:patternFill patternType="solid">
        <x:fgColor rgb="FFF6F8FB"/>
      </x:patternFill>
    </x:fill>
    <x:fill>
      <x:patternFill patternType="solid">
        <x:fgColor rgb="FF253D63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245536"/>
      </x:font>
      <x:fill>
        <x:patternFill patternType="solid">
          <x:bgColor rgb="FFDDEFE2"/>
        </x:patternFill>
      </x:fill>
    </x:dxf>
    <x:dxf>
      <x:fill>
        <x:patternFill patternType="solid">
          <x:bgColor rgb="FFF4E8D5"/>
        </x:patternFill>
      </x:fill>
    </x:dxf>
    <x:dxf>
      <x:font>
        <x:b/>
        <x:color rgb="FF245536"/>
      </x:font>
      <x:fill>
        <x:patternFill patternType="solid">
          <x:bgColor rgb="FFDDEFE2"/>
        </x:patternFill>
      </x:fill>
    </x:dxf>
    <x:dxf>
      <x:fill>
        <x:patternFill patternType="solid">
          <x:bgColor rgb="FFF4E8D5"/>
        </x:patternFill>
      </x:fill>
    </x:dxf>
    <x:dxf>
      <x:font>
        <x:b/>
        <x:color rgb="FF9E341E"/>
      </x:font>
      <x:fill>
        <x:patternFill patternType="solid">
          <x:bgColor rgb="FFFCE2D6"/>
        </x:patternFill>
      </x:fill>
    </x:dxf>
    <x:dxf>
      <x:fill>
        <x:patternFill patternType="solid">
          <x:bgColor rgb="FFFCE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ece3a29e2452a" /><Relationship Type="http://schemas.openxmlformats.org/officeDocument/2006/relationships/theme" Target="/xl/theme/theme1.xml" Id="R47a70bf6cf5a4cd5" /><Relationship Type="http://schemas.openxmlformats.org/officeDocument/2006/relationships/sharedStrings" Target="/xl/sharedStrings.xml" Id="R6b5477758cbf4212" /><Relationship Type="http://schemas.openxmlformats.org/officeDocument/2006/relationships/worksheet" Target="/xl/worksheets/sheet1.xml" Id="R66b3a3f59fd445bc" /><Relationship Type="http://schemas.openxmlformats.org/officeDocument/2006/relationships/worksheet" Target="/xl/worksheets/sheet2.xml" Id="R2ff95749af7540bb" /></Relationships>
</file>

<file path=xl/tables/table1.xml><?xml version="1.0" encoding="utf-8"?>
<x:table xmlns:x="http://schemas.openxmlformats.org/spreadsheetml/2006/main" id="2" name="RecommendedShortlist" displayName="RecommendedShortlist" ref="A8:I22" headerRowCount="1" totalsRowCount="0" totalsRowShown="0">
  <x:tableColumns count="9">
    <x:tableColumn id="1" name="Order"/>
    <x:tableColumn id="2" name="Link ID"/>
    <x:tableColumn id="3" name="Lab / supervisor"/>
    <x:tableColumn id="4" name="Fit"/>
    <x:tableColumn id="5" name="Funding / availability"/>
    <x:tableColumn id="6" name="Deadline"/>
    <x:tableColumn id="7" name="Next action"/>
    <x:tableColumn id="8" name="Main risk"/>
    <x:tableColumn id="9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llOpportunities" displayName="AllOpportunities" ref="A7:AC35" headerRowCount="1" totalsRowCount="0" totalsRowShown="0">
  <x:tableColumns count="29">
    <x:tableColumn id="1" name="Link ID"/>
    <x:tableColumn id="2" name="Institution / lab"/>
    <x:tableColumn id="3" name="Country"/>
    <x:tableColumn id="4" name="Supervisor / contact"/>
    <x:tableColumn id="5" name="Position type"/>
    <x:tableColumn id="6" name="Research fit"/>
    <x:tableColumn id="7" name="Action priority"/>
    <x:tableColumn id="8" name="Research focus"/>
    <x:tableColumn id="9" name="Evidence / current status"/>
    <x:tableColumn id="10" name="Funding / coverage"/>
    <x:tableColumn id="11" name="Start / intake"/>
    <x:tableColumn id="12" name="Deadline date"/>
    <x:tableColumn id="13" name="Deadline time / caveats"/>
    <x:tableColumn id="14" name="Days from as-of date"/>
    <x:tableColumn id="15" name="Degree eligibility"/>
    <x:tableColumn id="16" name="IELTS / English"/>
    <x:tableColumn id="17" name="Application fee / waiver"/>
    <x:tableColumn id="18" name="Email / contact route"/>
    <x:tableColumn id="19" name="Application steps / documents"/>
    <x:tableColumn id="20" name="Why relevant to you (assessment)"/>
    <x:tableColumn id="21" name="Main gap / risk (assessment)"/>
    <x:tableColumn id="22" name="Recommended next action"/>
    <x:tableColumn id="23" name="Application status"/>
    <x:tableColumn id="24" name="Last contact"/>
    <x:tableColumn id="25" name="Follow-up date"/>
    <x:tableColumn id="26" name="Last checked"/>
    <x:tableColumn id="27" name="Original supplied post"/>
    <x:tableColumn id="28" name="Verification source"/>
    <x:tableColumn id="29" name="Addition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84386ed8c841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c7255fcedb4fc0" /></Relationships>
</file>

<file path=xl/worksheets/sheet1.xml><?xml version="1.0" encoding="utf-8"?>
<x:worksheet xmlns:x="http://schemas.openxmlformats.org/spreadsheetml/2006/main">
  <x:sheetPr>
    <x:tabColor rgb="FF253D63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8" hidden="0" customWidth="1"/>
    <x:col min="2" max="2" width="9" hidden="0" customWidth="1"/>
    <x:col min="3" max="3" width="39" hidden="0" customWidth="1"/>
    <x:col min="4" max="4" width="14" hidden="0" customWidth="1"/>
    <x:col min="5" max="5" width="52" hidden="0" customWidth="1"/>
    <x:col min="6" max="6" width="18" hidden="0" customWidth="1"/>
    <x:col min="7" max="7" width="60" hidden="0" customWidth="1"/>
    <x:col min="8" max="8" width="58" hidden="0" customWidth="1"/>
    <x:col min="9" max="9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</x:row>
    <x:row r="2">
      <x:c r="A2" s="2" t="str">
        <x:v>PhD opportunities — Nishankar Sathiyamohan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</x:row>
    <x:row r="4">
      <x:c r="A4" s="1" t="str">
        <x:v>As of</x:v>
      </x:c>
      <x:c r="B4" s="3" t="d">
        <x:v>2026-10-19T00:00:00.000Z</x:v>
      </x:c>
      <x:c r="C4" s="1"/>
      <x:c r="D4" s="1" t="str">
        <x:v>Leads reviewed</x:v>
      </x:c>
      <x:c r="E4" s="1" t="n">
        <x:f>COUNTA('All leads'!A8:A35)</x:f>
        <x:v>28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</x:row>
    <x:row r="6">
      <x:c r="A6" s="4" t="str">
        <x:v>Research fit is my assessment, not an admission probability. Funding and eligibility are separate checks.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</x:row>
    <x:row r="8" ht="42" customHeight="1">
      <x:c r="A8" s="34" t="str">
        <x:v>Order</x:v>
      </x:c>
      <x:c r="B8" s="35" t="str">
        <x:v>Link ID</x:v>
      </x:c>
      <x:c r="C8" s="35" t="str">
        <x:v>Lab / supervisor</x:v>
      </x:c>
      <x:c r="D8" s="35" t="str">
        <x:v>Fit</x:v>
      </x:c>
      <x:c r="E8" s="35" t="str">
        <x:v>Funding / availability</x:v>
      </x:c>
      <x:c r="F8" s="35" t="str">
        <x:v>Deadline</x:v>
      </x:c>
      <x:c r="G8" s="35" t="str">
        <x:v>Next action</x:v>
      </x:c>
      <x:c r="H8" s="35" t="str">
        <x:v>Main risk</x:v>
      </x:c>
      <x:c r="I8" s="36" t="str">
        <x:v>Priority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</x:row>
    <x:row r="9" ht="78" customHeight="1">
      <x:c r="A9" s="18" t="n">
        <x:v>1</x:v>
      </x:c>
      <x:c r="B9" s="18" t="n">
        <x:f>'All leads'!A28</x:f>
        <x:v>23</x:v>
      </x:c>
      <x:c r="C9" s="18" t="str">
        <x:f>'All leads'!B28&amp;CHAR(10)&amp;'All leads'!D28</x:f>
        <x:v>National University of Singapore — MAGIC Lab
Jiafei Duan</x:v>
      </x:c>
      <x:c r="D9" s="18" t="str">
        <x:f>'All leads'!F28</x:f>
        <x:v>Strong</x:v>
      </x:c>
      <x:c r="E9" s="18" t="str">
        <x:f>'All leads'!J28</x:f>
        <x:v>Full funding advertised for PhD, RA and postdoc roles; confirm terms</x:v>
      </x:c>
      <x:c r="F9" s="19" t="str">
        <x:f>IF('All leads'!L28="","Not listed",'All leads'!L28)</x:f>
        <x:v>Not listed</x:v>
      </x:c>
      <x:c r="G9" s="18" t="str">
        <x:f>'All leads'!V28</x:f>
        <x:v>Pitch uncertainty/explanations for spatial reasoning; read AHA and RoboPoint</x:v>
      </x:c>
      <x:c r="H9" s="18" t="str">
        <x:f>'All leads'!U28</x:f>
        <x:v>Need to show a concrete research question beyond a generic robotics interest</x:v>
      </x:c>
      <x:c r="I9" s="18" t="str">
        <x:f>'All leads'!G28</x:f>
        <x:v>Contact now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</x:row>
    <x:row r="10" ht="78" customHeight="1">
      <x:c r="A10" s="18" t="n">
        <x:v>2</x:v>
      </x:c>
      <x:c r="B10" s="18" t="n">
        <x:f>'All leads'!A26</x:f>
        <x:v>21</x:v>
      </x:c>
      <x:c r="C10" s="18" t="str">
        <x:f>'All leads'!B26&amp;CHAR(10)&amp;'All leads'!D26</x:f>
        <x:v>National University of Singapore — Mechanical Engineering
Daniel Gehrig</x:v>
      </x:c>
      <x:c r="D10" s="18" t="str">
        <x:f>'All leads'!F26</x:f>
        <x:v>Strong</x:v>
      </x:c>
      <x:c r="E10" s="18" t="str">
        <x:f>'All leads'!J26</x:f>
        <x:v>Funding not specified in retrieved post; confirm scholarship/RA package</x:v>
      </x:c>
      <x:c r="F10" s="19" t="str">
        <x:f>IF('All leads'!L26="","Not listed",'All leads'!L26)</x:f>
        <x:v>Not listed</x:v>
      </x:c>
      <x:c r="G10" s="18" t="str">
        <x:f>'All leads'!V26</x:f>
        <x:v>Pitch uncertainty-aware adaptive sensing using your UAV sampling experience</x:v>
      </x:c>
      <x:c r="H10" s="18" t="str">
        <x:f>'All leads'!U26</x:f>
        <x:v>Event-camera/robotics experience is a learning need; funding not yet confirmed</x:v>
      </x:c>
      <x:c r="I10" s="18" t="str">
        <x:f>'All leads'!G26</x:f>
        <x:v>Contact now</x:v>
      </x:c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</x:row>
    <x:row r="11" ht="78" customHeight="1">
      <x:c r="A11" s="18" t="n">
        <x:v>3</x:v>
      </x:c>
      <x:c r="B11" s="18" t="n">
        <x:f>'All leads'!A10</x:f>
        <x:v>3</x:v>
      </x:c>
      <x:c r="C11" s="18" t="str">
        <x:f>'All leads'!B10&amp;CHAR(10)&amp;'All leads'!D10</x:f>
        <x:v>UCLA Mobility Lab
Jiaqi Ma</x:v>
      </x:c>
      <x:c r="D11" s="18" t="str">
        <x:f>'All leads'!F10</x:f>
        <x:v>Strong</x:v>
      </x:c>
      <x:c r="E11" s="18" t="str">
        <x:f>'All leads'!J10</x:f>
        <x:v>Funding available; individual package and tuition coverage to confirm</x:v>
      </x:c>
      <x:c r="F11" s="19" t="str">
        <x:f>IF('All leads'!L10="","Not listed",'All leads'!L10)</x:f>
        <x:v>Not listed</x:v>
      </x:c>
      <x:c r="G11" s="18" t="str">
        <x:f>'All leads'!V10</x:f>
        <x:v>Ask about funded Fall 2027 PhD and CEE/CS admission route</x:v>
      </x:c>
      <x:c r="H11" s="18" t="str">
        <x:f>'All leads'!U10</x:f>
        <x:v>Autonomous driving and systems experience need development</x:v>
      </x:c>
      <x:c r="I11" s="18" t="str">
        <x:f>'All leads'!G10</x:f>
        <x:v>Contact now</x:v>
      </x:c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</x:row>
    <x:row r="12" ht="78" customHeight="1">
      <x:c r="A12" s="18" t="n">
        <x:v>4</x:v>
      </x:c>
      <x:c r="B12" s="18" t="n">
        <x:f>'All leads'!A20</x:f>
        <x:v>14</x:v>
      </x:c>
      <x:c r="C12" s="18" t="str">
        <x:f>'All leads'!B20&amp;CHAR(10)&amp;'All leads'!D20</x:f>
        <x:v>DePaul University
Vince Kurtz</x:v>
      </x:c>
      <x:c r="D12" s="18" t="str">
        <x:f>'All leads'!F20</x:f>
        <x:v>Strong</x:v>
      </x:c>
      <x:c r="E12" s="18" t="str">
        <x:f>'All leads'!J20</x:f>
        <x:v>Funded PhD advertised; amount, duration and tuition coverage to confirm</x:v>
      </x:c>
      <x:c r="F12" s="19" t="str">
        <x:f>IF('All leads'!L20="","Not listed",'All leads'!L20)</x:f>
        <x:v>Not listed</x:v>
      </x:c>
      <x:c r="G12" s="18" t="str">
        <x:f>'All leads'!V20</x:f>
        <x:v>Send tailored cover letter and HiLRP as representative work</x:v>
      </x:c>
      <x:c r="H12" s="18" t="str">
        <x:f>'All leads'!U20</x:f>
        <x:v>Control/robotics engineering preparation is a gap</x:v>
      </x:c>
      <x:c r="I12" s="18" t="str">
        <x:f>'All leads'!G20</x:f>
        <x:v>Contact now</x:v>
      </x:c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</x:row>
    <x:row r="13" ht="78" customHeight="1">
      <x:c r="A13" s="18" t="n">
        <x:v>5</x:v>
      </x:c>
      <x:c r="B13" s="18" t="n">
        <x:f>'All leads'!A35</x:f>
        <x:v>30</x:v>
      </x:c>
      <x:c r="C13" s="18" t="str">
        <x:f>'All leads'!B35&amp;CHAR(10)&amp;'All leads'!D35</x:f>
        <x:v>University of Galway
Panpan Zhou</x:v>
      </x:c>
      <x:c r="D13" s="18" t="str">
        <x:f>'All leads'!F35</x:f>
        <x:v>Good</x:v>
      </x:c>
      <x:c r="E13" s="18" t="str">
        <x:f>'All leads'!J35</x:f>
        <x:v>Fully funded advertised; amount, tuition coverage and duration to confirm</x:v>
      </x:c>
      <x:c r="F13" s="19" t="str">
        <x:f>IF('All leads'!L35="","Not listed",'All leads'!L35)</x:f>
        <x:v>Not listed</x:v>
      </x:c>
      <x:c r="G13" s="18" t="str">
        <x:f>'All leads'!V35</x:f>
        <x:v>Send focused proposal on reliable multi-agent sensing under sparse observations</x:v>
      </x:c>
      <x:c r="H13" s="18" t="str">
        <x:f>'All leads'!U35</x:f>
        <x:v>Substantial control/game-theory preparation may be needed</x:v>
      </x:c>
      <x:c r="I13" s="18" t="str">
        <x:f>'All leads'!G35</x:f>
        <x:v>Contact now</x:v>
      </x:c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</x:row>
    <x:row r="14" ht="78" customHeight="1">
      <x:c r="A14" s="18" t="n">
        <x:v>6</x:v>
      </x:c>
      <x:c r="B14" s="18" t="n">
        <x:f>'All leads'!A30</x:f>
        <x:v>25</x:v>
      </x:c>
      <x:c r="C14" s="18" t="str">
        <x:f>'All leads'!B30&amp;CHAR(10)&amp;'All leads'!D30</x:f>
        <x:v>University of Cambridge — van der Schaar Lab
Mihaela van der Schaar</x:v>
      </x:c>
      <x:c r="D14" s="18" t="str">
        <x:f>'All leads'!F30</x:f>
        <x:v>Strong</x:v>
      </x:c>
      <x:c r="E14" s="18" t="str">
        <x:f>'All leads'!J30</x:f>
        <x:v>Lab states 4 years, fees for Home/international + living stipend; confirm specific offer</x:v>
      </x:c>
      <x:c r="F14" s="19" t="str">
        <x:f>IF('All leads'!L30="","Not listed",'All leads'!L30)</x:f>
        <x:v>Not listed</x:v>
      </x:c>
      <x:c r="G14" s="18" t="str">
        <x:f>'All leads'!V30</x:f>
        <x:v>Use lab form and confirm general Cambridge 2027 route and current deadline</x:v>
      </x:c>
      <x:c r="H14" s="18" t="str">
        <x:f>'All leads'!U30</x:f>
        <x:v>Separate Imperial/Schwarz joint call is also advertised; do not confuse institutions</x:v>
      </x:c>
      <x:c r="I14" s="18" t="str">
        <x:f>'All leads'!G30</x:f>
        <x:v>Confirm route</x:v>
      </x:c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</x:row>
    <x:row r="15" ht="78" customHeight="1">
      <x:c r="A15" s="18" t="n">
        <x:v>7</x:v>
      </x:c>
      <x:c r="B15" s="18" t="n">
        <x:f>'All leads'!A11</x:f>
        <x:v>4</x:v>
      </x:c>
      <x:c r="C15" s="18" t="str">
        <x:f>'All leads'!B11&amp;CHAR(10)&amp;'All leads'!D11</x:f>
        <x:v>University College London — IntellEcT
Jagmohan Chauhan</x:v>
      </x:c>
      <x:c r="D15" s="18" t="str">
        <x:f>'All leads'!F11</x:f>
        <x:v>Strong</x:v>
      </x:c>
      <x:c r="E15" s="18" t="str">
        <x:f>'All leads'!J11</x:f>
        <x:v>Recent linked call: fully funded Home; international may need partial self-funding. Other scholarships possible</x:v>
      </x:c>
      <x:c r="F15" s="19" t="str">
        <x:f>IF('All leads'!L11="","Not listed",'All leads'!L11)</x:f>
        <x:v>Not listed</x:v>
      </x:c>
      <x:c r="G15" s="18" t="str">
        <x:f>'All leads'!V11</x:f>
        <x:v>Complete interest form; ask explicitly for full international fee + stipend route</x:v>
      </x:c>
      <x:c r="H15" s="18" t="str">
        <x:f>'All leads'!U11</x:f>
        <x:v>International funding is a material constraint</x:v>
      </x:c>
      <x:c r="I15" s="18" t="str">
        <x:f>'All leads'!G11</x:f>
        <x:v>Funding check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</x:row>
    <x:row r="16" ht="78" customHeight="1">
      <x:c r="A16" s="18" t="n">
        <x:v>8</x:v>
      </x:c>
      <x:c r="B16" s="18" t="n">
        <x:f>'All leads'!A22</x:f>
        <x:v>17</x:v>
      </x:c>
      <x:c r="C16" s="18" t="str">
        <x:f>'All leads'!B22&amp;CHAR(10)&amp;'All leads'!D22</x:f>
        <x:v>ELLIS participating institutions
Select participating supervisors</x:v>
      </x:c>
      <x:c r="D16" s="18" t="str">
        <x:f>'All leads'!F22</x:f>
        <x:v>Strong</x:v>
      </x:c>
      <x:c r="E16" s="18" t="str">
        <x:f>'All leads'!J22</x:f>
        <x:v>Host-specific funding/employment; no universal stipend or tuition guarantee</x:v>
      </x:c>
      <x:c r="F16" s="19" t="n">
        <x:f>IF('All leads'!L22="","Not listed",'All leads'!L22)</x:f>
        <x:v>46326</x:v>
      </x:c>
      <x:c r="G16" s="18" t="str">
        <x:f>'All leads'!V22</x:f>
        <x:v>Choose 3–5 fitting advisors; request references now; letters due Nov 25, 23:59 AoE</x:v>
      </x:c>
      <x:c r="H16" s="18" t="str">
        <x:f>'All leads'!U22</x:f>
        <x:v>Must choose advisors actually listed this year and check local eligibility</x:v>
      </x:c>
      <x:c r="I16" s="18" t="str">
        <x:f>'All leads'!G22</x:f>
        <x:v>Urgent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</x:row>
    <x:row r="17" ht="78" customHeight="1">
      <x:c r="A17" s="18" t="n">
        <x:v>9</x:v>
      </x:c>
      <x:c r="B17" s="18" t="n">
        <x:f>'All leads'!A24</x:f>
        <x:v>19</x:v>
      </x:c>
      <x:c r="C17" s="18" t="str">
        <x:f>'All leads'!B24&amp;CHAR(10)&amp;'All leads'!D24</x:f>
        <x:v>ETH Zurich — AI Center
Two participating supervisors</x:v>
      </x:c>
      <x:c r="D17" s="18" t="str">
        <x:f>'All leads'!F24</x:f>
        <x:v>Strong</x:v>
      </x:c>
      <x:c r="E17" s="18" t="str">
        <x:f>'All leads'!J24</x:f>
        <x:v>Gross CHF 73,100 / 78,300 / 83,500 in years 1 / 2 / 3</x:v>
      </x:c>
      <x:c r="F17" s="19" t="n">
        <x:f>IF('All leads'!L24="","Not listed",'All leads'!L24)</x:f>
        <x:v>46322</x:v>
      </x:c>
      <x:c r="G17" s="18" t="str">
        <x:f>'All leads'!V24</x:f>
        <x:v>Confirm whether early MSc completion by June is possible before applying</x:v>
      </x:c>
      <x:c r="H17" s="18" t="str">
        <x:f>'All leads'!U24</x:f>
        <x:v>Your one-year MSc may finish after June 2027; eligibility must be settled first</x:v>
      </x:c>
      <x:c r="I17" s="18" t="str">
        <x:f>'All leads'!G24</x:f>
        <x:v>Urgent / conditional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</x:row>
    <x:row r="18" ht="78" customHeight="1">
      <x:c r="A18" s="18" t="n">
        <x:v>10</x:v>
      </x:c>
      <x:c r="B18" s="18" t="n">
        <x:f>'All leads'!A12</x:f>
        <x:v>5</x:v>
      </x:c>
      <x:c r="C18" s="18" t="str">
        <x:f>'All leads'!B12&amp;CHAR(10)&amp;'All leads'!D12</x:f>
        <x:v>Imperial College London — PAIR
Nicole Salomons</x:v>
      </x:c>
      <x:c r="D18" s="18" t="str">
        <x:f>'All leads'!F12</x:f>
        <x:v>Good</x:v>
      </x:c>
      <x:c r="E18" s="18" t="str">
        <x:f>'All leads'!J12</x:f>
        <x:v>Fully funded; Home and international eligible; amount/duration not specified in retrieved call</x:v>
      </x:c>
      <x:c r="F18" s="19" t="n">
        <x:f>IF('All leads'!L12="","Not listed",'All leads'!L12)</x:f>
        <x:v>46357</x:v>
      </x:c>
      <x:c r="G18" s="18" t="str">
        <x:f>'All leads'!V12</x:f>
        <x:v>Develop an HRI-specific idea about uncertainty/explanations for users; follow official application instructions</x:v>
      </x:c>
      <x:c r="H18" s="18" t="str">
        <x:f>'All leads'!U12</x:f>
        <x:v>Lab explicitly requires HRI relevance; generic vision/SLAM/control proposal is unsuitable</x:v>
      </x:c>
      <x:c r="I18" s="18" t="str">
        <x:f>'All leads'!G12</x:f>
        <x:v>Prepare</x:v>
      </x:c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</x:row>
    <x:row r="19" ht="78" customHeight="1">
      <x:c r="A19" s="18" t="n">
        <x:v>11</x:v>
      </x:c>
      <x:c r="B19" s="18" t="n">
        <x:f>'All leads'!A32</x:f>
        <x:v>27</x:v>
      </x:c>
      <x:c r="C19" s="18" t="str">
        <x:f>'All leads'!B32&amp;CHAR(10)&amp;'All leads'!D32</x:f>
        <x:v>University of Edinburgh — Responsible NLP CDT
CDT; select supervisors</x:v>
      </x:c>
      <x:c r="D19" s="18" t="str">
        <x:f>'All leads'!F32</x:f>
        <x:v>Good</x:v>
      </x:c>
      <x:c r="E19" s="18" t="str">
        <x:f>'All leads'!J32</x:f>
        <x:v>Tuition waived + standard UKRI stipend for Overseas; GBP 21,805 is 2026/27 reference rate, not guaranteed 2027/28 rate</x:v>
      </x:c>
      <x:c r="F19" s="19" t="n">
        <x:f>IF('All leads'!L32="","Not listed",'All leads'!L32)</x:f>
        <x:v>46356</x:v>
      </x:c>
      <x:c r="G19" s="18" t="str">
        <x:f>'All leads'!V32</x:f>
        <x:v>Prepare trustworthy multimodal-language research pitch; English certification checked at Stage 2</x:v>
      </x:c>
      <x:c r="H19" s="18" t="str">
        <x:f>'All leads'!U32</x:f>
        <x:v>Less direct 3D focus; international slots constrained; visa/IHS/relocation not covered</x:v>
      </x:c>
      <x:c r="I19" s="18" t="str">
        <x:f>'All leads'!G32</x:f>
        <x:v>Prepare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</x:row>
    <x:row r="20" ht="78" customHeight="1">
      <x:c r="A20" s="18" t="n">
        <x:v>12</x:v>
      </x:c>
      <x:c r="B20" s="18" t="n">
        <x:f>'All leads'!A27</x:f>
        <x:v>22</x:v>
      </x:c>
      <x:c r="C20" s="18" t="str">
        <x:f>'All leads'!B27&amp;CHAR(10)&amp;'All leads'!D27</x:f>
        <x:v>University of Colorado Colorado Springs
Amit Kumar Das</x:v>
      </x:c>
      <x:c r="D20" s="18" t="str">
        <x:f>'All leads'!F27</x:f>
        <x:v>Good</x:v>
      </x:c>
      <x:c r="E20" s="18" t="str">
        <x:f>'All leads'!J27</x:f>
        <x:v>Full GRA/GTA funding advertised; confirm stipend, fees and duration</x:v>
      </x:c>
      <x:c r="F20" s="19" t="str">
        <x:f>IF('All leads'!L27="","Not listed",'All leads'!L27)</x:f>
        <x:v>Not listed</x:v>
      </x:c>
      <x:c r="G20" s="18" t="str">
        <x:f>'All leads'!V27</x:f>
        <x:v>Email fit enquiry; formal application follows PI assessment</x:v>
      </x:c>
      <x:c r="H20" s="18" t="str">
        <x:f>'All leads'!U27</x:f>
        <x:v>Spatial perception is not the main advertised focus</x:v>
      </x:c>
      <x:c r="I20" s="18" t="str">
        <x:f>'All leads'!G27</x:f>
        <x:v>Contact now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</x:row>
    <x:row r="21" ht="78" customHeight="1">
      <x:c r="A21" s="18" t="n">
        <x:v>13</x:v>
      </x:c>
      <x:c r="B21" s="18" t="n">
        <x:f>'All leads'!A19</x:f>
        <x:v>13</x:v>
      </x:c>
      <x:c r="C21" s="18" t="str">
        <x:f>'All leads'!B19&amp;CHAR(10)&amp;'All leads'!D19</x:f>
        <x:v>University of Central Florida — AI MIND
Pegah Khosravi</x:v>
      </x:c>
      <x:c r="D21" s="18" t="str">
        <x:f>'All leads'!F19</x:f>
        <x:v>Strong</x:v>
      </x:c>
      <x:c r="E21" s="18" t="str">
        <x:f>'All leads'!J19</x:f>
        <x:v>Older funded PhD call found; current 2027 award unverified</x:v>
      </x:c>
      <x:c r="F21" s="19" t="str">
        <x:f>IF('All leads'!L19="","Not listed",'All leads'!L19)</x:f>
        <x:v>Not listed</x:v>
      </x:c>
      <x:c r="G21" s="18" t="str">
        <x:f>'All leads'!V19</x:f>
        <x:v>Ask whether a fully funded 2027 PhD in multimodal trustworthy medical AI is open</x:v>
      </x:c>
      <x:c r="H21" s="18" t="str">
        <x:f>'All leads'!U19</x:f>
        <x:v>Less direct spatial/embodied focus; availability not established</x:v>
      </x:c>
      <x:c r="I21" s="18" t="str">
        <x:f>'All leads'!G19</x:f>
        <x:v>Verify first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</x:row>
    <x:row r="22" ht="78" customHeight="1">
      <x:c r="A22" s="18" t="n">
        <x:v>14</x:v>
      </x:c>
      <x:c r="B22" s="18" t="n">
        <x:f>'All leads'!A23</x:f>
        <x:v>18</x:v>
      </x:c>
      <x:c r="C22" s="18" t="str">
        <x:f>'All leads'!B23&amp;CHAR(10)&amp;'All leads'!D23</x:f>
        <x:v>University of Florida
Sumit Kumar Jha</x:v>
      </x:c>
      <x:c r="D22" s="18" t="str">
        <x:f>'All leads'!F23</x:f>
        <x:v>Strong</x:v>
      </x:c>
      <x:c r="E22" s="18" t="str">
        <x:f>'All leads'!J23</x:f>
        <x:v>Old funded call does not confirm a Fall 2027 offer</x:v>
      </x:c>
      <x:c r="F22" s="19" t="str">
        <x:f>IF('All leads'!L23="","Not listed",'All leads'!L23)</x:f>
        <x:v>Not listed</x:v>
      </x:c>
      <x:c r="G22" s="18" t="str">
        <x:f>'All leads'!V23</x:f>
        <x:v>Confirm 2027 funding and a project linking explanations to verification</x:v>
      </x:c>
      <x:c r="H22" s="18" t="str">
        <x:f>'All leads'!U23</x:f>
        <x:v>Formal verification background needs development; exact current call missing</x:v>
      </x:c>
      <x:c r="I22" s="18" t="str">
        <x:f>'All leads'!G23</x:f>
        <x:v>Verify first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</x:row>
    <x:row r="25">
      <x:c r="A25" s="20" t="str">
        <x:v>How to use this shortlist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</x:row>
    <x:row r="27" ht="48" customHeight="1">
      <x:c r="A27" s="22" t="str">
        <x:v>Ranking</x:v>
      </x:c>
      <x:c r="B27" s="22"/>
      <x:c r="C27" s="22" t="str">
        <x:v>Ordered by research alignment and usefulness to your goals, not admission likelihood. Urgent deadlines may need action ahead of higher-ranked labs.</x:v>
      </x:c>
      <x:c r="D27" s="22"/>
      <x:c r="E27" s="22"/>
      <x:c r="F27" s="22"/>
      <x:c r="G27" s="22"/>
      <x:c r="H27" s="22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</x:row>
    <x:row r="28" ht="48" customHeight="1">
      <x:c r="A28" s="22" t="str">
        <x:v>Urgent</x:v>
      </x:c>
      <x:c r="B28" s="22"/>
      <x:c r="C28" s="22" t="str">
        <x:v>ETH: Oct 27 (conditional on MSc timing). ELLIS: Oct 31. CNU: reported Oct 30, needs official confirmation.</x:v>
      </x:c>
      <x:c r="D28" s="22"/>
      <x:c r="E28" s="22"/>
      <x:c r="F28" s="22"/>
      <x:c r="G28" s="22"/>
      <x:c r="H28" s="22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</x:row>
    <x:row r="29" ht="48" customHeight="1">
      <x:c r="A29" s="22" t="str">
        <x:v>Your profile</x:v>
      </x:c>
      <x:c r="B29" s="22"/>
      <x:c r="C29" s="22" t="str">
        <x:v>BSc Computer Engineering, GPA 3.50; RA/MSc in 3D wildfire fuel mapping; HiLRP under review with public code; XAI/medical SSL research. MSc expected 2027, exact completion month unconfirmed.</x:v>
      </x:c>
      <x:c r="D29" s="22"/>
      <x:c r="E29" s="22"/>
      <x:c r="F29" s="22"/>
      <x:c r="G29" s="22"/>
      <x:c r="H29" s="22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</x:row>
    <x:row r="30" ht="48" customHeight="1">
      <x:c r="A30" s="22" t="str">
        <x:v>Choose your pitch</x:v>
      </x:c>
      <x:c r="B30" s="22"/>
      <x:c r="C30" s="22" t="str">
        <x:v>Spatial/embodied labs: sampling uncertainty → reliable spatial reasoning. Medical/trustworthy labs: HiLRP → explanation reliability. Hardware labs: adaptive sensing/efficient deployment.</x:v>
      </x:c>
      <x:c r="D30" s="22"/>
      <x:c r="E30" s="22"/>
      <x:c r="F30" s="22"/>
      <x:c r="G30" s="22"/>
      <x:c r="H30" s="22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</x:row>
    <x:row r="31" ht="48" customHeight="1">
      <x:c r="A31" s="22" t="str">
        <x:v>Funding check</x:v>
      </x:c>
      <x:c r="B31" s="22"/>
      <x:c r="C31" s="22" t="str">
        <x:v>Before paying a fee, confirm international tuition, stipend, duration, renewal conditions, compulsory fees and any teaching duties. “Fully funded” does not establish free application.</x:v>
      </x:c>
      <x:c r="D31" s="22"/>
      <x:c r="E31" s="22"/>
      <x:c r="F31" s="22"/>
      <x:c r="G31" s="22"/>
      <x:c r="H31" s="22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</x:row>
    <x:row r="32" ht="48" customHeight="1">
      <x:c r="A32" s="22" t="str">
        <x:v>English</x:v>
      </x:c>
      <x:c r="B32" s="22"/>
      <x:c r="C32" s="22" t="str">
        <x:v>IELTS overall 7.5; W6, S6.5, L8.5, R9; Sep 13, 2026. Band requirements must be checked separately for the actual programme.</x:v>
      </x:c>
      <x:c r="D32" s="22"/>
      <x:c r="E32" s="22"/>
      <x:c r="F32" s="22"/>
      <x:c r="G32" s="22"/>
      <x:c r="H32" s="22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</x:row>
    <x:row r="33" ht="48" customHeight="1">
      <x:c r="A33" s="22" t="str">
        <x:v>Workflow</x:v>
      </x:c>
      <x:c r="B33" s="22"/>
      <x:c r="C33" s="22" t="str">
        <x:v>Open All leads, filter Action priority and Research fit, then update amber application status/contact/follow-up cells. Sources and last-checked date remain alongside each lead.</x:v>
      </x:c>
      <x:c r="D33" s="22"/>
      <x:c r="E33" s="22"/>
      <x:c r="F33" s="22"/>
      <x:c r="G33" s="22"/>
      <x:c r="H33" s="22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</x:row>
    <x:row r="34" ht="48" customHeight="1">
      <x:c r="A34" s="22" t="str">
        <x:v>Unverified leads</x:v>
      </x:c>
      <x:c r="B34" s="22"/>
      <x:c r="C34" s="22" t="str">
        <x:v>Unavailable posts are not labelled closed. Faculty job #6 excluded; ERA #12 closed and not a PhD; #20 master’s lead and #29 internship kept separately labelled. Short links #8/#15 skipped.</x:v>
      </x:c>
      <x:c r="D34" s="22"/>
      <x:c r="E34" s="22"/>
      <x:c r="F34" s="22"/>
      <x:c r="G34" s="22"/>
      <x:c r="H34" s="22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</x:row>
    <x:row r="35" ht="48" customHeight="1">
      <x:c r="A35" s="22" t="str">
        <x:v>Dates</x:v>
      </x:c>
      <x:c r="B35" s="22"/>
      <x:c r="C35" s="22" t="str">
        <x:v>Days remaining use the editable as-of date B4, not the computer clock. Dates are the published local calendar dates; deadline timezone is in the detailed sheet. Recheck before submission.</x:v>
      </x:c>
      <x:c r="D35" s="22"/>
      <x:c r="E35" s="22"/>
      <x:c r="F35" s="22"/>
      <x:c r="G35" s="22"/>
      <x:c r="H35" s="22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</x:row>
  </x:sheetData>
  <x:mergeCells>
    <x:mergeCell ref="C27:H27"/>
    <x:mergeCell ref="C28:H28"/>
    <x:mergeCell ref="C29:H29"/>
    <x:mergeCell ref="C30:H30"/>
    <x:mergeCell ref="C31:H31"/>
    <x:mergeCell ref="C32:H32"/>
    <x:mergeCell ref="C33:H33"/>
    <x:mergeCell ref="C34:H34"/>
    <x:mergeCell ref="C35:H35"/>
  </x:mergeCells>
  <x:conditionalFormatting sqref="D9:D22">
    <x:cfRule type="containsText" dxfId="0" priority="1" operator="containsText" text="Strong"/>
    <x:cfRule type="containsText" dxfId="1" priority="2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8e84386ed8c8418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" hidden="0" customWidth="1"/>
    <x:col min="2" max="2" width="31" hidden="0" customWidth="1"/>
    <x:col min="3" max="3" width="16" hidden="0" customWidth="1"/>
    <x:col min="4" max="4" width="24" hidden="0" customWidth="1"/>
    <x:col min="5" max="5" width="24" hidden="0" customWidth="1"/>
    <x:col min="6" max="6" width="15" hidden="0" customWidth="1"/>
    <x:col min="7" max="7" width="22" hidden="0" customWidth="1"/>
    <x:col min="8" max="8" width="40" hidden="0" customWidth="1"/>
    <x:col min="9" max="9" width="47" hidden="0" customWidth="1"/>
    <x:col min="10" max="10" width="53" hidden="0" customWidth="1"/>
    <x:col min="11" max="11" width="29" hidden="0" customWidth="1"/>
    <x:col min="12" max="12" width="18" hidden="0" customWidth="1"/>
    <x:col min="13" max="13" width="49" hidden="0" customWidth="1"/>
    <x:col min="14" max="14" width="17" hidden="0" customWidth="1"/>
    <x:col min="15" max="15" width="53" hidden="0" customWidth="1"/>
    <x:col min="16" max="16" width="48" hidden="0" customWidth="1"/>
    <x:col min="17" max="17" width="30" hidden="0" customWidth="1"/>
    <x:col min="18" max="18" width="37" hidden="0" customWidth="1"/>
    <x:col min="19" max="19" width="67" hidden="0" customWidth="1"/>
    <x:col min="20" max="20" width="54" hidden="0" customWidth="1"/>
    <x:col min="21" max="21" width="56" hidden="0" customWidth="1"/>
    <x:col min="22" max="22" width="64" hidden="0" customWidth="1"/>
    <x:col min="23" max="23" width="20" hidden="0" customWidth="1"/>
    <x:col min="24" max="24" width="18" hidden="0" customWidth="1"/>
    <x:col min="25" max="25" width="18" hidden="0" customWidth="1"/>
    <x:col min="26" max="26" width="18" hidden="0" customWidth="1"/>
    <x:col min="27" max="27" width="55" hidden="0" customWidth="1"/>
    <x:col min="28" max="28" width="65" hidden="0" customWidth="1"/>
    <x:col min="29" max="29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</x:row>
    <x:row r="2">
      <x:c r="A2" s="2" t="str">
        <x:v>Detailed opportunities and application tracker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</x:row>
    <x:row r="4">
      <x:c r="A4" s="1" t="str">
        <x:v>28 leads retained; short links #8 and #15 skipped at your request. Original IDs preserve your link order.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</x:row>
    <x:row r="5">
      <x:c r="A5" s="1" t="str">
        <x:v>Blank deadline means unknown. Recruitment evidence may differ from the supplied repost; see status and sources.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</x:row>
    <x:row r="6">
      <x:c r="A6" s="1" t="str">
        <x:v>Amber cells: update application status, contact dates and follow-ups. No fees or IELTS thresholds inferred from scholarship funding.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</x:row>
    <x:row r="7" ht="42" customHeight="1">
      <x:c r="A7" s="34" t="str">
        <x:v>Link ID</x:v>
      </x:c>
      <x:c r="B7" s="35" t="str">
        <x:v>Institution / lab</x:v>
      </x:c>
      <x:c r="C7" s="35" t="str">
        <x:v>Country</x:v>
      </x:c>
      <x:c r="D7" s="35" t="str">
        <x:v>Supervisor / contact</x:v>
      </x:c>
      <x:c r="E7" s="35" t="str">
        <x:v>Position type</x:v>
      </x:c>
      <x:c r="F7" s="35" t="str">
        <x:v>Research fit</x:v>
      </x:c>
      <x:c r="G7" s="35" t="str">
        <x:v>Action priority</x:v>
      </x:c>
      <x:c r="H7" s="35" t="str">
        <x:v>Research focus</x:v>
      </x:c>
      <x:c r="I7" s="35" t="str">
        <x:v>Evidence / current status</x:v>
      </x:c>
      <x:c r="J7" s="35" t="str">
        <x:v>Funding / coverage</x:v>
      </x:c>
      <x:c r="K7" s="35" t="str">
        <x:v>Start / intake</x:v>
      </x:c>
      <x:c r="L7" s="35" t="str">
        <x:v>Deadline date</x:v>
      </x:c>
      <x:c r="M7" s="35" t="str">
        <x:v>Deadline time / caveats</x:v>
      </x:c>
      <x:c r="N7" s="35" t="str">
        <x:v>Days from as-of date</x:v>
      </x:c>
      <x:c r="O7" s="35" t="str">
        <x:v>Degree eligibility</x:v>
      </x:c>
      <x:c r="P7" s="35" t="str">
        <x:v>IELTS / English</x:v>
      </x:c>
      <x:c r="Q7" s="35" t="str">
        <x:v>Application fee / waiver</x:v>
      </x:c>
      <x:c r="R7" s="35" t="str">
        <x:v>Email / contact route</x:v>
      </x:c>
      <x:c r="S7" s="35" t="str">
        <x:v>Application steps / documents</x:v>
      </x:c>
      <x:c r="T7" s="35" t="str">
        <x:v>Why relevant to you (assessment)</x:v>
      </x:c>
      <x:c r="U7" s="35" t="str">
        <x:v>Main gap / risk (assessment)</x:v>
      </x:c>
      <x:c r="V7" s="35" t="str">
        <x:v>Recommended next action</x:v>
      </x:c>
      <x:c r="W7" s="35" t="str">
        <x:v>Application status</x:v>
      </x:c>
      <x:c r="X7" s="35" t="str">
        <x:v>Last contact</x:v>
      </x:c>
      <x:c r="Y7" s="35" t="str">
        <x:v>Follow-up date</x:v>
      </x:c>
      <x:c r="Z7" s="35" t="str">
        <x:v>Last checked</x:v>
      </x:c>
      <x:c r="AA7" s="35" t="str">
        <x:v>Original supplied post</x:v>
      </x:c>
      <x:c r="AB7" s="35" t="str">
        <x:v>Verification source</x:v>
      </x:c>
      <x:c r="AC7" s="36" t="str">
        <x:v>Additional source</x:v>
      </x:c>
      <x:c r="AD7" s="1"/>
      <x:c r="AE7" s="1"/>
    </x:row>
    <x:row r="8" ht="84" customHeight="1">
      <x:c r="A8" s="8" t="n">
        <x:v>1</x:v>
      </x:c>
      <x:c r="B8" s="8" t="str">
        <x:v>Deakin University</x:v>
      </x:c>
      <x:c r="C8" s="8" t="str">
        <x:v>Australia</x:v>
      </x:c>
      <x:c r="D8" s="8" t="str">
        <x:v>Md Palash Uddin</x:v>
      </x:c>
      <x:c r="E8" s="8" t="str">
        <x:v>PhD lead</x:v>
      </x:c>
      <x:c r="F8" s="8" t="str">
        <x:v>Good</x:v>
      </x:c>
      <x:c r="G8" s="8" t="str">
        <x:v>Verify first</x:v>
      </x:c>
      <x:c r="H8" s="8" t="str">
        <x:v>Federated / edge learning</x:v>
      </x:c>
      <x:c r="I8" s="8" t="str">
        <x:v>Exact repost unavailable; older call found</x:v>
      </x:c>
      <x:c r="J8" s="8" t="str">
        <x:v>Current offer unverified; older scholarship cannot establish current funding</x:v>
      </x:c>
      <x:c r="K8" s="8" t="str">
        <x:v>Unverified</x:v>
      </x:c>
      <x:c r="L8" s="9"/>
      <x:c r="M8" s="8" t="str"/>
      <x:c r="N8" s="13" t="str">
        <x:f>IF(L8="","",L8-Shortlist!$B$4)</x:f>
      </x:c>
      <x:c r="O8" s="8" t="str">
        <x:v>Current degree conditions unverified; older joint call sought bachelor + master</x:v>
      </x:c>
      <x:c r="P8" s="8" t="str">
        <x:v>Programme minimum bands not verified; compare W6/S6.5/L8.5/R9 with current policy</x:v>
      </x:c>
      <x:c r="Q8" s="8" t="str">
        <x:v>Not verified; do not treat as free</x:v>
      </x:c>
      <x:c r="R8" s="8" t="str">
        <x:v>m.uddin@deakin.edu.au</x:v>
      </x:c>
      <x:c r="S8" s="8" t="str">
        <x:v>Confirm current call before preparing documents</x:v>
      </x:c>
      <x:c r="T8" s="8" t="str">
        <x:v>Edge AI connects to embedded deployment and resource constraints</x:v>
      </x:c>
      <x:c r="U8" s="8" t="str">
        <x:v>Less direct spatial/XAI match; older Feb 2026 deadline has passed</x:v>
      </x:c>
      <x:c r="V8" s="8" t="str">
        <x:v>Ask for active 2027 project, eligibility and international tuition coverage</x:v>
      </x:c>
      <x:c r="W8" s="14" t="str">
        <x:v>Not started</x:v>
      </x:c>
      <x:c r="X8" s="15"/>
      <x:c r="Y8" s="15"/>
      <x:c r="Z8" s="9" t="d">
        <x:v>2026-10-19T00:00:00.000Z</x:v>
      </x:c>
      <x:c r="AA8" s="8" t="str">
        <x:v>https://www.linkedin.com/posts/md-palash-uddin-a23b9380_phd-phdscholarship-deakinuniversity-share-7511556029361496064-yQNI</x:v>
      </x:c>
      <x:c r="AB8" s="8" t="str">
        <x:v>https://www.linkedin.com/posts/md-palash-uddin-a23b9380_robust-federated-reinforcement-learning-for-activity-7422462011856429056-89Yz</x:v>
      </x:c>
      <x:c r="AC8" s="8" t="str"/>
      <x:c r="AD8" s="1"/>
      <x:c r="AE8" s="1"/>
    </x:row>
    <x:row r="9" ht="84" customHeight="1">
      <x:c r="A9" s="7" t="n">
        <x:v>2</x:v>
      </x:c>
      <x:c r="B9" s="7" t="str">
        <x:v>Chonnam National University</x:v>
      </x:c>
      <x:c r="C9" s="7" t="str">
        <x:v>South Korea</x:v>
      </x:c>
      <x:c r="D9" s="7" t="str">
        <x:v>Mavin Sao (admissions ambassador)</x:v>
      </x:c>
      <x:c r="E9" s="7" t="str">
        <x:v>General MSc / PhD admissions</x:v>
      </x:c>
      <x:c r="F9" s="7" t="str">
        <x:v>Unknown</x:v>
      </x:c>
      <x:c r="G9" s="7" t="str">
        <x:v>Verify first</x:v>
      </x:c>
      <x:c r="H9" s="7" t="str">
        <x:v>Choose a lab; no project identified</x:v>
      </x:c>
      <x:c r="I9" s="7" t="str">
        <x:v>Spring 2027 round reported; official guide not retrieved</x:v>
      </x:c>
      <x:c r="J9" s="7" t="str">
        <x:v>Professor-backed scholarships reported; award not guaranteed</x:v>
      </x:c>
      <x:c r="K9" s="7" t="str">
        <x:v>Spring 2027</x:v>
      </x:c>
      <x:c r="L9" s="10" t="d">
        <x:v>2026-10-30T00:00:00.000Z</x:v>
      </x:c>
      <x:c r="M9" s="7" t="str">
        <x:v>Round 2 date reported in repost; verify timezone</x:v>
      </x:c>
      <x:c r="N9" s="13" t="n">
        <x:f>IF(L9="","",L9-Shortlist!$B$4)</x:f>
        <x:v>11</x:v>
      </x:c>
      <x:c r="O9" s="7" t="str">
        <x:v>PhD vs integrated route and MSc completion timing require confirmation</x:v>
      </x:c>
      <x:c r="P9" s="7" t="str">
        <x:v>Programme minimum bands not verified; compare W6/S6.5/L8.5/R9 with current policy</x:v>
      </x:c>
      <x:c r="Q9" s="7" t="str">
        <x:v>Not verified; do not treat as free</x:v>
      </x:c>
      <x:c r="R9" s="7" t="str">
        <x:v>mavinsao@jnu.ac.kr</x:v>
      </x:c>
      <x:c r="S9" s="7" t="str">
        <x:v>Get official graduate guide; contact relevant PI</x:v>
      </x:c>
      <x:c r="T9" s="7" t="str">
        <x:v>Potential funded route; no supervisor fit established</x:v>
      </x:c>
      <x:c r="U9" s="7" t="str">
        <x:v>Spring 2027 precedes expected current MSc completion</x:v>
      </x:c>
      <x:c r="V9" s="7" t="str">
        <x:v>Verify Oct 30 deadline, degree route, lab and scholarship before applying</x:v>
      </x:c>
      <x:c r="W9" s="14" t="str">
        <x:v>Not started</x:v>
      </x:c>
      <x:c r="X9" s="15"/>
      <x:c r="Y9" s="15"/>
      <x:c r="Z9" s="10" t="d">
        <x:v>2026-10-19T00:00:00.000Z</x:v>
      </x:c>
      <x:c r="AA9" s="7" t="str">
        <x:v>https://www.linkedin.com/posts/mavin-sao-3b19531aa_cnu-studyinkorea-graduateadmission-ugcPost-7517612153562914816-tCmG</x:v>
      </x:c>
      <x:c r="AB9" s="7" t="str">
        <x:v>https://international.jnu.ac.kr/Admission/Graduate</x:v>
      </x:c>
      <x:c r="AC9" s="7" t="str"/>
      <x:c r="AD9" s="1"/>
      <x:c r="AE9" s="1"/>
    </x:row>
    <x:row r="10" ht="84" customHeight="1">
      <x:c r="A10" s="8" t="n">
        <x:v>3</x:v>
      </x:c>
      <x:c r="B10" s="8" t="str">
        <x:v>UCLA Mobility Lab</x:v>
      </x:c>
      <x:c r="C10" s="8" t="str">
        <x:v>USA</x:v>
      </x:c>
      <x:c r="D10" s="8" t="str">
        <x:v>Jiaqi Ma</x:v>
      </x:c>
      <x:c r="E10" s="8" t="str">
        <x:v>PhD / research recruitment</x:v>
      </x:c>
      <x:c r="F10" s="8" t="str">
        <x:v>Strong</x:v>
      </x:c>
      <x:c r="G10" s="8" t="str">
        <x:v>Contact now</x:v>
      </x:c>
      <x:c r="H10" s="8" t="str">
        <x:v>Multimodal perception; VLA/world models; autonomy</x:v>
      </x:c>
      <x:c r="I10" s="8" t="str">
        <x:v>Lab recruitment verified; exact 2027 repost not retrieved</x:v>
      </x:c>
      <x:c r="J10" s="8" t="str">
        <x:v>Funding available; individual package and tuition coverage to confirm</x:v>
      </x:c>
      <x:c r="K10" s="8" t="str">
        <x:v>2027 availability to confirm</x:v>
      </x:c>
      <x:c r="L10" s="9"/>
      <x:c r="M10" s="8" t="str"/>
      <x:c r="N10" s="13" t="str">
        <x:f>IF(L10="","",L10-Shortlist!$B$4)</x:f>
      </x:c>
      <x:c r="O10" s="8" t="str">
        <x:v>Strong programming and substantial software project experience requested</x:v>
      </x:c>
      <x:c r="P10" s="8" t="str">
        <x:v>Programme minimum bands not verified; compare W6/S6.5/L8.5/R9 with current policy</x:v>
      </x:c>
      <x:c r="Q10" s="8" t="str">
        <x:v>Not verified; do not treat as free</x:v>
      </x:c>
      <x:c r="R10" s="8" t="str">
        <x:v>jiaqima@ucla.edu</x:v>
      </x:c>
      <x:c r="S10" s="8" t="str">
        <x:v>CV + brief research-interest statement</x:v>
      </x:c>
      <x:c r="T10" s="8" t="str">
        <x:v>Direct bridge from 3D/multimodal work to spatial reasoning and physical AI</x:v>
      </x:c>
      <x:c r="U10" s="8" t="str">
        <x:v>Autonomous driving and systems experience need development</x:v>
      </x:c>
      <x:c r="V10" s="8" t="str">
        <x:v>Ask about funded Fall 2027 PhD and CEE/CS admission route</x:v>
      </x:c>
      <x:c r="W10" s="14" t="str">
        <x:v>Not started</x:v>
      </x:c>
      <x:c r="X10" s="15"/>
      <x:c r="Y10" s="15"/>
      <x:c r="Z10" s="9" t="d">
        <x:v>2026-10-19T00:00:00.000Z</x:v>
      </x:c>
      <x:c r="AA10" s="8" t="str">
        <x:v>https://www.linkedin.com/posts/jiaqi-ma-17037838_physicalai-autonomousdriving-robotics-share-7511339170804678658-z_Sv</x:v>
      </x:c>
      <x:c r="AB10" s="8" t="str">
        <x:v>https://mobility-lab.seas.ucla.edu/join-us/</x:v>
      </x:c>
      <x:c r="AC10" s="8" t="str">
        <x:v>https://samueli.ucla.edu/people/jiaqi-ma/</x:v>
      </x:c>
      <x:c r="AD10" s="1"/>
      <x:c r="AE10" s="1"/>
    </x:row>
    <x:row r="11" ht="84" customHeight="1">
      <x:c r="A11" s="7" t="n">
        <x:v>4</x:v>
      </x:c>
      <x:c r="B11" s="7" t="str">
        <x:v>University College London — IntellEcT</x:v>
      </x:c>
      <x:c r="C11" s="7" t="str">
        <x:v>UK</x:v>
      </x:c>
      <x:c r="D11" s="7" t="str">
        <x:v>Jagmohan Chauhan</x:v>
      </x:c>
      <x:c r="E11" s="7" t="str">
        <x:v>PhD recruitment</x:v>
      </x:c>
      <x:c r="F11" s="7" t="str">
        <x:v>Strong</x:v>
      </x:c>
      <x:c r="G11" s="7" t="str">
        <x:v>Funding check</x:v>
      </x:c>
      <x:c r="H11" s="7" t="str">
        <x:v>Trustworthy / efficient GenAI; agents; world models</x:v>
      </x:c>
      <x:c r="I11" s="7" t="str">
        <x:v>Recruitment verified; funding differs by route</x:v>
      </x:c>
      <x:c r="J11" s="7" t="str">
        <x:v>Recent linked call: fully funded Home; international may need partial self-funding. Other scholarships possible</x:v>
      </x:c>
      <x:c r="K11" s="7" t="str">
        <x:v>2027</x:v>
      </x:c>
      <x:c r="L11" s="10"/>
      <x:c r="M11" s="7" t="str">
        <x:v>Route-specific deadlines</x:v>
      </x:c>
      <x:c r="N11" s="13" t="str">
        <x:f>IF(L11="","",L11-Shortlist!$B$4)</x:f>
      </x:c>
      <x:c r="O11" s="7" t="str">
        <x:v>First-class bachelor/master equivalent expected; verify Sri Lankan equivalence</x:v>
      </x:c>
      <x:c r="P11" s="7" t="str">
        <x:v>Programme minimum bands not verified; compare W6/S6.5/L8.5/R9 with current policy</x:v>
      </x:c>
      <x:c r="Q11" s="7" t="str">
        <x:v>Not verified; do not treat as free</x:v>
      </x:c>
      <x:c r="R11" s="7" t="str">
        <x:v>jagmohan.chauhan@ucl.ac.uk</x:v>
      </x:c>
      <x:c r="S11" s="7" t="str">
        <x:v>Initial interest form; CV/transcripts/papers; proposal and references if invited</x:v>
      </x:c>
      <x:c r="T11" s="7" t="str">
        <x:v>HiLRP plus agentic reasoning fit trustworthy and efficient AI</x:v>
      </x:c>
      <x:c r="U11" s="7" t="str">
        <x:v>International funding is a material constraint</x:v>
      </x:c>
      <x:c r="V11" s="7" t="str">
        <x:v>Complete interest form; ask explicitly for full international fee + stipend route</x:v>
      </x:c>
      <x:c r="W11" s="14" t="str">
        <x:v>Not started</x:v>
      </x:c>
      <x:c r="X11" s="15"/>
      <x:c r="Y11" s="15"/>
      <x:c r="Z11" s="10" t="d">
        <x:v>2026-10-19T00:00:00.000Z</x:v>
      </x:c>
      <x:c r="AA11" s="7" t="str">
        <x:v>https://www.linkedin.com/posts/jagmohan-chauhan-7a924a32_hey-hey-phd-application-season-is-here-again-share-7511702535502737408-7XyB</x:v>
      </x:c>
      <x:c r="AB11" s="7" t="str">
        <x:v>https://sites.google.com/view/jagmohan-chauhan/phd-opportunities</x:v>
      </x:c>
      <x:c r="AC11" s="7" t="str">
        <x:v>https://www.linkedin.com/feed/update/urn:li:activity:7370770822178848768/</x:v>
      </x:c>
      <x:c r="AD11" s="1"/>
      <x:c r="AE11" s="1"/>
    </x:row>
    <x:row r="12" ht="84" customHeight="1">
      <x:c r="A12" s="8" t="n">
        <x:v>5</x:v>
      </x:c>
      <x:c r="B12" s="8" t="str">
        <x:v>Imperial College London — PAIR</x:v>
      </x:c>
      <x:c r="C12" s="8" t="str">
        <x:v>UK</x:v>
      </x:c>
      <x:c r="D12" s="8" t="str">
        <x:v>Nicole Salomons</x:v>
      </x:c>
      <x:c r="E12" s="8" t="str">
        <x:v>3 funded PhDs</x:v>
      </x:c>
      <x:c r="F12" s="8" t="str">
        <x:v>Good</x:v>
      </x:c>
      <x:c r="G12" s="8" t="str">
        <x:v>Prepare</x:v>
      </x:c>
      <x:c r="H12" s="8" t="str">
        <x:v>Human–robot interaction; user/group modelling</x:v>
      </x:c>
      <x:c r="I12" s="8" t="str">
        <x:v>Current official call verified</x:v>
      </x:c>
      <x:c r="J12" s="8" t="str">
        <x:v>Fully funded; Home and international eligible; amount/duration not specified in retrieved call</x:v>
      </x:c>
      <x:c r="K12" s="8" t="str">
        <x:v>September 2027</x:v>
      </x:c>
      <x:c r="L12" s="9" t="d">
        <x:v>2026-12-01T00:00:00.000Z</x:v>
      </x:c>
      <x:c r="M12" s="8" t="str">
        <x:v>Deadline time not specified</x:v>
      </x:c>
      <x:c r="N12" s="13" t="n">
        <x:f>IF(L12="","",L12-Shortlist!$B$4)</x:f>
        <x:v>43</x:v>
      </x:c>
      <x:c r="O12" s="8" t="str">
        <x:v>Research experience valued; formal Imperial entry requirements still apply</x:v>
      </x:c>
      <x:c r="P12" s="8" t="str">
        <x:v>Programme minimum bands not verified; compare W6/S6.5/L8.5/R9 with current policy</x:v>
      </x:c>
      <x:c r="Q12" s="8" t="str">
        <x:v>Not verified; do not treat as free</x:v>
      </x:c>
      <x:c r="R12" s="8" t="str">
        <x:v>nsalomon@ic.ac.uk</x:v>
      </x:c>
      <x:c r="S12" s="8" t="str">
        <x:v>Research proposal + formal application; email CV using subject HRI PhD Applications</x:v>
      </x:c>
      <x:c r="T12" s="8" t="str">
        <x:v>Your XAI interests and teaching experience can support understandable assistive robots</x:v>
      </x:c>
      <x:c r="U12" s="8" t="str">
        <x:v>Lab explicitly requires HRI relevance; generic vision/SLAM/control proposal is unsuitable</x:v>
      </x:c>
      <x:c r="V12" s="8" t="str">
        <x:v>Develop an HRI-specific idea about uncertainty/explanations for users; follow official application instructions</x:v>
      </x:c>
      <x:c r="W12" s="14" t="str">
        <x:v>Not started</x:v>
      </x:c>
      <x:c r="X12" s="15"/>
      <x:c r="Y12" s="15"/>
      <x:c r="Z12" s="9" t="d">
        <x:v>2026-10-19T00:00:00.000Z</x:v>
      </x:c>
      <x:c r="AA12" s="8" t="str">
        <x:v>https://www.linkedin.com/posts/chyasirabbas_phdpositions-imperialcollegelondon-hri-share-7517526605871742976-0iP9</x:v>
      </x:c>
      <x:c r="AB12" s="8" t="str">
        <x:v>https://www.imperial.ac.uk/pair-lab/join-us/</x:v>
      </x:c>
      <x:c r="AC12" s="8" t="str"/>
      <x:c r="AD12" s="1"/>
      <x:c r="AE12" s="1"/>
    </x:row>
    <x:row r="13" ht="84" customHeight="1">
      <x:c r="A13" s="7" t="n">
        <x:v>6</x:v>
      </x:c>
      <x:c r="B13" s="7" t="str">
        <x:v>University of Edinburgh</x:v>
      </x:c>
      <x:c r="C13" s="7" t="str">
        <x:v>UK</x:v>
      </x:c>
      <x:c r="D13" s="7" t="str">
        <x:v>Oisin Mac Aodha</x:v>
      </x:c>
      <x:c r="E13" s="7" t="str">
        <x:v>Faculty job</x:v>
      </x:c>
      <x:c r="F13" s="7" t="str">
        <x:v>Not applicable</x:v>
      </x:c>
      <x:c r="G13" s="7" t="str">
        <x:v>Exclude</x:v>
      </x:c>
      <x:c r="H13" s="7" t="str">
        <x:v>Artificial intelligence faculty recruitment</x:v>
      </x:c>
      <x:c r="I13" s="7" t="str">
        <x:v>Faculty vacancy, not a student opening</x:v>
      </x:c>
      <x:c r="J13" s="7" t="str">
        <x:v>Not a PhD scholarship</x:v>
      </x:c>
      <x:c r="K13" s="7" t="str">
        <x:v>Not applicable</x:v>
      </x:c>
      <x:c r="L13" s="10"/>
      <x:c r="M13" s="7" t="str"/>
      <x:c r="N13" s="13" t="str">
        <x:f>IF(L13="","",L13-Shortlist!$B$4)</x:f>
      </x:c>
      <x:c r="O13" s="7" t="str">
        <x:v>Faculty qualifications; not your current career stage</x:v>
      </x:c>
      <x:c r="P13" s="7" t="str">
        <x:v>Programme minimum bands not verified; compare W6/S6.5/L8.5/R9 with current policy</x:v>
      </x:c>
      <x:c r="Q13" s="7" t="str">
        <x:v>Not verified; do not treat as free</x:v>
      </x:c>
      <x:c r="R13" s="7" t="str"/>
      <x:c r="S13" s="7" t="str"/>
      <x:c r="T13" s="7" t="str">
        <x:v>No relevant PhD vacancy established by this post</x:v>
      </x:c>
      <x:c r="U13" s="7" t="str">
        <x:v>Wrong position type</x:v>
      </x:c>
      <x:c r="V13" s="7" t="str">
        <x:v>Exclude from PhD applications</x:v>
      </x:c>
      <x:c r="W13" s="14" t="str">
        <x:v>Not started</x:v>
      </x:c>
      <x:c r="X13" s="15"/>
      <x:c r="Y13" s="15"/>
      <x:c r="Z13" s="10" t="d">
        <x:v>2026-10-19T00:00:00.000Z</x:v>
      </x:c>
      <x:c r="AA13" s="7" t="str">
        <x:v>https://www.linkedin.com/posts/oisin-mac-aodha-406273273_we-have-a-faculty-job-opening-in-artificial-share-7508565589817393152-JM0L</x:v>
      </x:c>
      <x:c r="AB13" s="7" t="str">
        <x:v>https://www.linkedin.com/posts/oisin-mac-aodha-406273273_we-have-a-faculty-job-opening-in-artificial-activity-7508565593097326592-fDP5</x:v>
      </x:c>
      <x:c r="AC13" s="7" t="str"/>
      <x:c r="AD13" s="1"/>
      <x:c r="AE13" s="1"/>
    </x:row>
    <x:row r="14" ht="84" customHeight="1">
      <x:c r="A14" s="8" t="n">
        <x:v>7</x:v>
      </x:c>
      <x:c r="B14" s="8" t="str">
        <x:v>Indiana University Bloomington</x:v>
      </x:c>
      <x:c r="C14" s="8" t="str">
        <x:v>USA</x:v>
      </x:c>
      <x:c r="D14" s="8" t="str">
        <x:v>Yiwei Zhao</x:v>
      </x:c>
      <x:c r="E14" s="8" t="str">
        <x:v>PhD / MSc / RA recruitment</x:v>
      </x:c>
      <x:c r="F14" s="8" t="str">
        <x:v>Adjacent</x:v>
      </x:c>
      <x:c r="G14" s="8" t="str">
        <x:v>Secondary</x:v>
      </x:c>
      <x:c r="H14" s="8" t="str">
        <x:v>Computer architecture; algorithms; processing-in-memory</x:v>
      </x:c>
      <x:c r="I14" s="8" t="str">
        <x:v>Active recruitment verified on PI site; exact funding post unavailable</x:v>
      </x:c>
      <x:c r="J14" s="8" t="str">
        <x:v>Supplied repost advertises funded PhD; package not independently confirmed</x:v>
      </x:c>
      <x:c r="K14" s="8" t="str">
        <x:v>Confirm intake</x:v>
      </x:c>
      <x:c r="L14" s="9"/>
      <x:c r="M14" s="8" t="str"/>
      <x:c r="N14" s="13" t="str">
        <x:f>IF(L14="","",L14-Shortlist!$B$4)</x:f>
      </x:c>
      <x:c r="O14" s="8" t="str">
        <x:v>Route-specific admission requirements unverified</x:v>
      </x:c>
      <x:c r="P14" s="8" t="str">
        <x:v>Programme minimum bands not verified; compare W6/S6.5/L8.5/R9 with current policy</x:v>
      </x:c>
      <x:c r="Q14" s="8" t="str">
        <x:v>Not verified; do not treat as free</x:v>
      </x:c>
      <x:c r="R14" s="8" t="str">
        <x:v>yiwzhao@iu.edu</x:v>
      </x:c>
      <x:c r="S14" s="8" t="str">
        <x:v>CV; state PhD or internship interest; follow Work With Me page</x:v>
      </x:c>
      <x:c r="T14" s="8" t="str">
        <x:v>Hardware connection complements Computer Engineering background</x:v>
      </x:c>
      <x:c r="U14" s="8" t="str">
        <x:v>Hardware/systems focus differs from perception and model explainability</x:v>
      </x:c>
      <x:c r="V14" s="8" t="str">
        <x:v>Read recent work; pursue only if interested in systems/architecture research</x:v>
      </x:c>
      <x:c r="W14" s="14" t="str">
        <x:v>Not started</x:v>
      </x:c>
      <x:c r="X14" s="15"/>
      <x:c r="Y14" s="15"/>
      <x:c r="Z14" s="9" t="d">
        <x:v>2026-10-19T00:00:00.000Z</x:v>
      </x:c>
      <x:c r="AA14" s="8" t="str">
        <x:v>https://www.linkedin.com/posts/yiwei-zhao-3b6b73201_im-recruiting-fully-funded-phd-students-share-7516917421648187393-Up5g</x:v>
      </x:c>
      <x:c r="AB14" s="8" t="str">
        <x:v>https://zhaoyw007.github.io/</x:v>
      </x:c>
      <x:c r="AC14" s="8" t="str"/>
      <x:c r="AD14" s="1"/>
      <x:c r="AE14" s="1"/>
    </x:row>
    <x:row r="15" ht="84" customHeight="1">
      <x:c r="A15" s="7" t="n">
        <x:v>9</x:v>
      </x:c>
      <x:c r="B15" s="7" t="str">
        <x:v>Texas A&amp;M University–Kingsville</x:v>
      </x:c>
      <x:c r="C15" s="7" t="str">
        <x:v>USA</x:v>
      </x:c>
      <x:c r="D15" s="7" t="str">
        <x:v>Shaif Chowdhury</x:v>
      </x:c>
      <x:c r="E15" s="7" t="str">
        <x:v>Reported 1 PhD + 1 MS</x:v>
      </x:c>
      <x:c r="F15" s="7" t="str">
        <x:v>Good</x:v>
      </x:c>
      <x:c r="G15" s="7" t="str">
        <x:v>Verify first</x:v>
      </x:c>
      <x:c r="H15" s="7" t="str">
        <x:v>AI for education; agents; limited-supervision vision</x:v>
      </x:c>
      <x:c r="I15" s="7" t="str">
        <x:v>PI recruiting verified; two-position details secondary-source only</x:v>
      </x:c>
      <x:c r="J15" s="7" t="str">
        <x:v>Two funded graduate roles reported; confirm degree programme, tuition, stipend and duration</x:v>
      </x:c>
      <x:c r="K15" s="7" t="str">
        <x:v>Confirm intake</x:v>
      </x:c>
      <x:c r="L15" s="10"/>
      <x:c r="M15" s="7" t="str"/>
      <x:c r="N15" s="13" t="str">
        <x:f>IF(L15="","",L15-Shortlist!$B$4)</x:f>
      </x:c>
      <x:c r="O15" s="7" t="str">
        <x:v>Doctoral admission route and MSc requirement not verified</x:v>
      </x:c>
      <x:c r="P15" s="7" t="str">
        <x:v>Programme minimum bands not verified; compare W6/S6.5/L8.5/R9 with current policy</x:v>
      </x:c>
      <x:c r="Q15" s="7" t="str">
        <x:v>Not verified; do not treat as free</x:v>
      </x:c>
      <x:c r="R15" s="7" t="str">
        <x:v>Via PI website contact</x:v>
      </x:c>
      <x:c r="S15" s="7" t="str">
        <x:v>CV + relevant publications/projects; ask exact application route</x:v>
      </x:c>
      <x:c r="T15" s="7" t="str">
        <x:v>Teaching background, SSL papers and agentic reasoning offer a clear pitch</x:v>
      </x:c>
      <x:c r="U15" s="7" t="str">
        <x:v>Exact grant roles and available PhD programme require confirmation</x:v>
      </x:c>
      <x:c r="V15" s="7" t="str">
        <x:v>Ask whether PhD role remains open and what full international funding covers</x:v>
      </x:c>
      <x:c r="W15" s="14" t="str">
        <x:v>Not started</x:v>
      </x:c>
      <x:c r="X15" s="15"/>
      <x:c r="Y15" s="15"/>
      <x:c r="Z15" s="10" t="d">
        <x:v>2026-10-19T00:00:00.000Z</x:v>
      </x:c>
      <x:c r="AA15" s="7" t="str">
        <x:v>https://www.linkedin.com/posts/shaif-chowdhury-95m_i-am-hiring-two-funded-graduate-students-share-7516562960409100288-L8EV</x:v>
      </x:c>
      <x:c r="AB15" s="7" t="str">
        <x:v>https://www.shaifchowdhury.com/</x:v>
      </x:c>
      <x:c r="AC15" s="7" t="str">
        <x:v>https://www.applykite.com/positions/funded-phd-and-ms-positions-in-ai-in-education-and-ai-agents-at-texas-am-university-kingsville-f3dego4z85</x:v>
      </x:c>
      <x:c r="AD15" s="1"/>
      <x:c r="AE15" s="1"/>
    </x:row>
    <x:row r="16" ht="84" customHeight="1">
      <x:c r="A16" s="8" t="n">
        <x:v>10</x:v>
      </x:c>
      <x:c r="B16" s="8" t="str">
        <x:v>Johns Hopkins University</x:v>
      </x:c>
      <x:c r="C16" s="8" t="str">
        <x:v>USA</x:v>
      </x:c>
      <x:c r="D16" s="8" t="str">
        <x:v>Farshad Firouzi</x:v>
      </x:c>
      <x:c r="E16" s="8" t="str">
        <x:v>PhD lead</x:v>
      </x:c>
      <x:c r="F16" s="8" t="str">
        <x:v>Good</x:v>
      </x:c>
      <x:c r="G16" s="8" t="str">
        <x:v>Verify first</x:v>
      </x:c>
      <x:c r="H16" s="8" t="str">
        <x:v>Physical / agentic AI; hardware; sensing systems</x:v>
      </x:c>
      <x:c r="I16" s="8" t="str">
        <x:v>Faculty research verified; exact vacancy not retrieved</x:v>
      </x:c>
      <x:c r="J16" s="8" t="str">
        <x:v>Current PhD funding package unverified</x:v>
      </x:c>
      <x:c r="K16" s="8" t="str">
        <x:v>Confirm 2027</x:v>
      </x:c>
      <x:c r="L16" s="9"/>
      <x:c r="M16" s="8" t="str"/>
      <x:c r="N16" s="13" t="str">
        <x:f>IF(L16="","",L16-Shortlist!$B$4)</x:f>
      </x:c>
      <x:c r="O16" s="8" t="str">
        <x:v>Project and doctoral programme requirements unverified</x:v>
      </x:c>
      <x:c r="P16" s="8" t="str">
        <x:v>Programme minimum bands not verified; compare W6/S6.5/L8.5/R9 with current policy</x:v>
      </x:c>
      <x:c r="Q16" s="8" t="str">
        <x:v>Not verified; do not treat as free</x:v>
      </x:c>
      <x:c r="R16" s="8" t="str">
        <x:v>farshad.firouzi@jhu.edu</x:v>
      </x:c>
      <x:c r="S16" s="8" t="str">
        <x:v>CV + concise project fit; request current position details</x:v>
      </x:c>
      <x:c r="T16" s="8" t="str">
        <x:v>Potential hardware–AI bridge and physical intelligence</x:v>
      </x:c>
      <x:c r="U16" s="8" t="str">
        <x:v>Some advertised work may focus on networks/circuits rather than perception</x:v>
      </x:c>
      <x:c r="V16" s="8" t="str">
        <x:v>Confirm exact project and funded Fall 2027 availability</x:v>
      </x:c>
      <x:c r="W16" s="14" t="str">
        <x:v>Not started</x:v>
      </x:c>
      <x:c r="X16" s="15"/>
      <x:c r="Y16" s="15"/>
      <x:c r="Z16" s="9" t="d">
        <x:v>2026-10-19T00:00:00.000Z</x:v>
      </x:c>
      <x:c r="AA16" s="8" t="str">
        <x:v>https://www.linkedin.com/posts/farshadfirouzi_phd-positions-at-johns-hopkins-university-share-7515841846749581312-udll</x:v>
      </x:c>
      <x:c r="AB16" s="8" t="str">
        <x:v>https://engineering.jhu.edu/ece/faculty/farshad-firouzi/</x:v>
      </x:c>
      <x:c r="AC16" s="8" t="str"/>
      <x:c r="AD16" s="1"/>
      <x:c r="AE16" s="1"/>
    </x:row>
    <x:row r="17" ht="84" customHeight="1">
      <x:c r="A17" s="7" t="n">
        <x:v>11</x:v>
      </x:c>
      <x:c r="B17" s="7" t="str">
        <x:v>AMI Labs / doctoral host to confirm</x:v>
      </x:c>
      <x:c r="C17" s="7" t="str">
        <x:v>France</x:v>
      </x:c>
      <x:c r="D17" s="7" t="str">
        <x:v>Pascale Fung</x:v>
      </x:c>
      <x:c r="E17" s="7" t="str">
        <x:v>PhD / postdoc / research recruitment</x:v>
      </x:c>
      <x:c r="F17" s="7" t="str">
        <x:v>Good</x:v>
      </x:c>
      <x:c r="G17" s="7" t="str">
        <x:v>Verify first</x:v>
      </x:c>
      <x:c r="H17" s="7" t="str">
        <x:v>Fundamental model safety</x:v>
      </x:c>
      <x:c r="I17" s="7" t="str">
        <x:v>PI recruitment statement indexed; exact repost unavailable</x:v>
      </x:c>
      <x:c r="J17" s="7" t="str">
        <x:v>Funding, employment terms and degree-awarding university unverified</x:v>
      </x:c>
      <x:c r="K17" s="7" t="str">
        <x:v>Unverified</x:v>
      </x:c>
      <x:c r="L17" s="10"/>
      <x:c r="M17" s="7" t="str"/>
      <x:c r="N17" s="13" t="str">
        <x:f>IF(L17="","",L17-Shortlist!$B$4)</x:f>
      </x:c>
      <x:c r="O17" s="7" t="str">
        <x:v>PhD enrolment arrangements and eligibility require confirmation</x:v>
      </x:c>
      <x:c r="P17" s="7" t="str">
        <x:v>Programme minimum bands not verified; compare W6/S6.5/L8.5/R9 with current policy</x:v>
      </x:c>
      <x:c r="Q17" s="7" t="str">
        <x:v>Not verified; do not treat as free</x:v>
      </x:c>
      <x:c r="R17" s="7" t="str">
        <x:v>pascale@amilabs.xyz</x:v>
      </x:c>
      <x:c r="S17" s="7" t="str">
        <x:v>CV + research-interest summary; confirm doctoral host</x:v>
      </x:c>
      <x:c r="T17" s="7" t="str">
        <x:v>HiLRP provides evidence for model understanding; interest in safer multimodal models</x:v>
      </x:c>
      <x:c r="U17" s="7" t="str">
        <x:v>Fundamental safety agenda extends beyond post-hoc saliency methods</x:v>
      </x:c>
      <x:c r="V17" s="7" t="str">
        <x:v>Ask about PhD university partner, funding and interpretability-related projects</x:v>
      </x:c>
      <x:c r="W17" s="14" t="str">
        <x:v>Not started</x:v>
      </x:c>
      <x:c r="X17" s="15"/>
      <x:c r="Y17" s="15"/>
      <x:c r="Z17" s="10" t="d">
        <x:v>2026-10-19T00:00:00.000Z</x:v>
      </x:c>
      <x:c r="AA17" s="7" t="str">
        <x:v>https://www.linkedin.com/posts/pascale-fung-a3aa05139_i-am-looking-to-hire-phd-students-post-docs-share-7508908165002956800-M8QF</x:v>
      </x:c>
      <x:c r="AB17" s="7" t="str">
        <x:v>https://pascalefung.com/</x:v>
      </x:c>
      <x:c r="AC17" s="7" t="str">
        <x:v>https://fr.linkedin.com/in/pascale-fung-a3aa05139</x:v>
      </x:c>
      <x:c r="AD17" s="1"/>
      <x:c r="AE17" s="1"/>
    </x:row>
    <x:row r="18" ht="84" customHeight="1">
      <x:c r="A18" s="8" t="n">
        <x:v>12</x:v>
      </x:c>
      <x:c r="B18" s="8" t="str">
        <x:v>ERA Fellowship (Cambridge-based programme)</x:v>
      </x:c>
      <x:c r="C18" s="8" t="str">
        <x:v>UK</x:v>
      </x:c>
      <x:c r="D18" s="8" t="str">
        <x:v>ERA team</x:v>
      </x:c>
      <x:c r="E18" s="8" t="str">
        <x:v>10-week research fellowship</x:v>
      </x:c>
      <x:c r="F18" s="8" t="str">
        <x:v>Good</x:v>
      </x:c>
      <x:c r="G18" s="8" t="str">
        <x:v>Closed / not PhD</x:v>
      </x:c>
      <x:c r="H18" s="8" t="str">
        <x:v>Technical AI safety; interpretability; governance</x:v>
      </x:c>
      <x:c r="I18" s="8" t="str">
        <x:v>Officially closed for Winter 2027</x:v>
      </x:c>
      <x:c r="J18" s="8" t="str">
        <x:v>GBP 10,000 stipend + travel and visa support; not a degree scholarship</x:v>
      </x:c>
      <x:c r="K18" s="8" t="str">
        <x:v>18 January 2027</x:v>
      </x:c>
      <x:c r="L18" s="9"/>
      <x:c r="M18" s="8" t="str">
        <x:v>Applications closed</x:v>
      </x:c>
      <x:c r="N18" s="13" t="str">
        <x:f>IF(L18="","",L18-Shortlist!$B$4)</x:f>
      </x:c>
      <x:c r="O18" s="8" t="str">
        <x:v>18+; no formal degree restriction stated</x:v>
      </x:c>
      <x:c r="P18" s="8" t="str">
        <x:v>Programme minimum bands not verified; compare W6/S6.5/L8.5/R9 with current policy</x:v>
      </x:c>
      <x:c r="Q18" s="8" t="str">
        <x:v>Not verified; do not treat as free</x:v>
      </x:c>
      <x:c r="R18" s="8" t="str">
        <x:v>Programme mailing list</x:v>
      </x:c>
      <x:c r="S18" s="8" t="str">
        <x:v>Future cohort: written application + interviews</x:v>
      </x:c>
      <x:c r="T18" s="8" t="str">
        <x:v>Technical interpretability could extend HiLRP into frontier-model safety</x:v>
      </x:c>
      <x:c r="U18" s="8" t="str">
        <x:v>Short fellowship; current cohort closed</x:v>
      </x:c>
      <x:c r="V18" s="8" t="str">
        <x:v>Join future-call mailing list if interested</x:v>
      </x:c>
      <x:c r="W18" s="14" t="str">
        <x:v>Not started</x:v>
      </x:c>
      <x:c r="X18" s="15"/>
      <x:c r="Y18" s="15"/>
      <x:c r="Z18" s="9" t="d">
        <x:v>2026-10-19T00:00:00.000Z</x:v>
      </x:c>
      <x:c r="AA18" s="8" t="str">
        <x:v>https://www.linkedin.com/posts/erai-aisafety-aigovernance-share-7513992477993750529-1K-g</x:v>
      </x:c>
      <x:c r="AB18" s="8" t="str">
        <x:v>https://erafellowship.org/fellowship</x:v>
      </x:c>
      <x:c r="AC18" s="8" t="str"/>
      <x:c r="AD18" s="1"/>
      <x:c r="AE18" s="1"/>
    </x:row>
    <x:row r="19" ht="84" customHeight="1">
      <x:c r="A19" s="7" t="n">
        <x:v>13</x:v>
      </x:c>
      <x:c r="B19" s="7" t="str">
        <x:v>University of Central Florida — AI MIND</x:v>
      </x:c>
      <x:c r="C19" s="7" t="str">
        <x:v>USA</x:v>
      </x:c>
      <x:c r="D19" s="7" t="str">
        <x:v>Pegah Khosravi</x:v>
      </x:c>
      <x:c r="E19" s="7" t="str">
        <x:v>Lab lead; vacancy to confirm</x:v>
      </x:c>
      <x:c r="F19" s="7" t="str">
        <x:v>Strong</x:v>
      </x:c>
      <x:c r="G19" s="7" t="str">
        <x:v>Verify first</x:v>
      </x:c>
      <x:c r="H19" s="7" t="str">
        <x:v>Medical multimodal AI; generative AI; explainability</x:v>
      </x:c>
      <x:c r="I19" s="7" t="str">
        <x:v>Lab/research verified; supplied post is an update, not confirmed vacancy</x:v>
      </x:c>
      <x:c r="J19" s="7" t="str">
        <x:v>Older funded PhD call found; current 2027 award unverified</x:v>
      </x:c>
      <x:c r="K19" s="7" t="str">
        <x:v>Ask about Fall 2027</x:v>
      </x:c>
      <x:c r="L19" s="10"/>
      <x:c r="M19" s="7" t="str"/>
      <x:c r="N19" s="13" t="str">
        <x:f>IF(L19="","",L19-Shortlist!$B$4)</x:f>
      </x:c>
      <x:c r="O19" s="7" t="str">
        <x:v>Programme-specific doctoral eligibility unverified</x:v>
      </x:c>
      <x:c r="P19" s="7" t="str">
        <x:v>Programme minimum bands not verified; compare W6/S6.5/L8.5/R9 with current policy</x:v>
      </x:c>
      <x:c r="Q19" s="7" t="str">
        <x:v>Not verified; do not treat as free</x:v>
      </x:c>
      <x:c r="R19" s="7" t="str">
        <x:v>pegah.khosravi@ucf.edu</x:v>
      </x:c>
      <x:c r="S19" s="7" t="str">
        <x:v>CV + HiLRP + medical SSL survey; ask current opening</x:v>
      </x:c>
      <x:c r="T19" s="7" t="str">
        <x:v>Closest evidence match to existing medical XAI and SSL publication record</x:v>
      </x:c>
      <x:c r="U19" s="7" t="str">
        <x:v>Less direct spatial/embodied focus; availability not established</x:v>
      </x:c>
      <x:c r="V19" s="7" t="str">
        <x:v>Ask whether a fully funded 2027 PhD in multimodal trustworthy medical AI is open</x:v>
      </x:c>
      <x:c r="W19" s="14" t="str">
        <x:v>Not started</x:v>
      </x:c>
      <x:c r="X19" s="15"/>
      <x:c r="Y19" s="15"/>
      <x:c r="Z19" s="10" t="d">
        <x:v>2026-10-19T00:00:00.000Z</x:v>
      </x:c>
      <x:c r="AA19" s="7" t="str">
        <x:v>https://www.linkedin.com/posts/pegah-khosravi-20a18732_a-little-update-from-ai-mind-lab-at-ucf-share-7516137631676727296-J4nN</x:v>
      </x:c>
      <x:c r="AB19" s="7" t="str">
        <x:v>https://med.ucf.edu/person/pegah-khosravi-ph-d/</x:v>
      </x:c>
      <x:c r="AC19" s="7" t="str">
        <x:v>https://sites.google.com/view/aimindlab/home</x:v>
      </x:c>
      <x:c r="AD19" s="1"/>
      <x:c r="AE19" s="1"/>
    </x:row>
    <x:row r="20" ht="84" customHeight="1">
      <x:c r="A20" s="8" t="n">
        <x:v>14</x:v>
      </x:c>
      <x:c r="B20" s="8" t="str">
        <x:v>DePaul University</x:v>
      </x:c>
      <x:c r="C20" s="8" t="str">
        <x:v>USA</x:v>
      </x:c>
      <x:c r="D20" s="8" t="str">
        <x:v>Vince Kurtz</x:v>
      </x:c>
      <x:c r="E20" s="8" t="str">
        <x:v>Funded PhD</x:v>
      </x:c>
      <x:c r="F20" s="8" t="str">
        <x:v>Strong</x:v>
      </x:c>
      <x:c r="G20" s="8" t="str">
        <x:v>Contact now</x:v>
      </x:c>
      <x:c r="H20" s="8" t="str">
        <x:v>Robot learning/control; simulation-based validation</x:v>
      </x:c>
      <x:c r="I20" s="8" t="str">
        <x:v>Current PI call verified</x:v>
      </x:c>
      <x:c r="J20" s="8" t="str">
        <x:v>Funded PhD advertised; amount, duration and tuition coverage to confirm</x:v>
      </x:c>
      <x:c r="K20" s="8" t="str">
        <x:v>Fall 2027</x:v>
      </x:c>
      <x:c r="L20" s="9"/>
      <x:c r="M20" s="8" t="str">
        <x:v>No deadline listed</x:v>
      </x:c>
      <x:c r="N20" s="13" t="str">
        <x:f>IF(L20="","",L20-Shortlist!$B$4)</x:f>
      </x:c>
      <x:c r="O20" s="8" t="str">
        <x:v>Python/C++; mathematics; practical systems experience valued</x:v>
      </x:c>
      <x:c r="P20" s="8" t="str">
        <x:v>Programme minimum bands not verified; compare W6/S6.5/L8.5/R9 with current policy</x:v>
      </x:c>
      <x:c r="Q20" s="8" t="str">
        <x:v>Not verified; do not treat as free</x:v>
      </x:c>
      <x:c r="R20" s="8" t="str">
        <x:v>vkurtz1@depaul.edu</x:v>
      </x:c>
      <x:c r="S20" s="8" t="str">
        <x:v>Exactly 3 attachments: CV, cover letter, one piece of work you are proud of</x:v>
      </x:c>
      <x:c r="T20" s="8" t="str">
        <x:v>Strong route into embodied systems and testing reliable robotic behaviour</x:v>
      </x:c>
      <x:c r="U20" s="8" t="str">
        <x:v>Control/robotics engineering preparation is a gap</x:v>
      </x:c>
      <x:c r="V20" s="8" t="str">
        <x:v>Send tailored cover letter and HiLRP as representative work</x:v>
      </x:c>
      <x:c r="W20" s="14" t="str">
        <x:v>Not started</x:v>
      </x:c>
      <x:c r="X20" s="15"/>
      <x:c r="Y20" s="15"/>
      <x:c r="Z20" s="9" t="d">
        <x:v>2026-10-19T00:00:00.000Z</x:v>
      </x:c>
      <x:c r="AA20" s="8" t="str">
        <x:v>https://www.linkedin.com/posts/vincekurtz_its-that-time-of-year-again-our-relatively-share-7514073555584618496-YeKX</x:v>
      </x:c>
      <x:c r="AB20" s="8" t="str">
        <x:v>https://vincekurtz.github.io/prospective_students/</x:v>
      </x:c>
      <x:c r="AC20" s="8" t="str"/>
      <x:c r="AD20" s="1"/>
      <x:c r="AE20" s="1"/>
    </x:row>
    <x:row r="21" ht="84" customHeight="1">
      <x:c r="A21" s="7" t="n">
        <x:v>16</x:v>
      </x:c>
      <x:c r="B21" s="7" t="str">
        <x:v>Unidentified Canadian university</x:v>
      </x:c>
      <x:c r="C21" s="7" t="str">
        <x:v>Canada</x:v>
      </x:c>
      <x:c r="D21" s="7" t="str">
        <x:v>Reposted by agridibu</x:v>
      </x:c>
      <x:c r="E21" s="7" t="str">
        <x:v>Unverified PhD lead</x:v>
      </x:c>
      <x:c r="F21" s="7" t="str">
        <x:v>Unknown</x:v>
      </x:c>
      <x:c r="G21" s="7" t="str">
        <x:v>Unresolved</x:v>
      </x:c>
      <x:c r="H21" s="7" t="str">
        <x:v>Unknown</x:v>
      </x:c>
      <x:c r="I21" s="7" t="str">
        <x:v>Exact post unavailable; title alone insufficient</x:v>
      </x:c>
      <x:c r="J21" s="7" t="str">
        <x:v>Fully funded in URL wording only; not verified</x:v>
      </x:c>
      <x:c r="K21" s="7" t="str">
        <x:v>Unknown</x:v>
      </x:c>
      <x:c r="L21" s="10"/>
      <x:c r="M21" s="7" t="str"/>
      <x:c r="N21" s="13" t="str">
        <x:f>IF(L21="","",L21-Shortlist!$B$4)</x:f>
      </x:c>
      <x:c r="O21" s="7" t="str">
        <x:v>Unknown</x:v>
      </x:c>
      <x:c r="P21" s="7" t="str">
        <x:v>Programme minimum bands not verified; compare W6/S6.5/L8.5/R9 with current policy</x:v>
      </x:c>
      <x:c r="Q21" s="7" t="str">
        <x:v>Not verified; do not treat as free</x:v>
      </x:c>
      <x:c r="R21" s="7" t="str"/>
      <x:c r="S21" s="7" t="str">
        <x:v>Original post text required</x:v>
      </x:c>
      <x:c r="T21" s="7" t="str">
        <x:v>Cannot assess until lab/project is identified</x:v>
      </x:c>
      <x:c r="U21" s="7" t="str">
        <x:v>Institution, supervisor and application details unresolved</x:v>
      </x:c>
      <x:c r="V21" s="7" t="str">
        <x:v>Retrieve post text before investing application time</x:v>
      </x:c>
      <x:c r="W21" s="14" t="str">
        <x:v>Not started</x:v>
      </x:c>
      <x:c r="X21" s="15"/>
      <x:c r="Y21" s="15"/>
      <x:c r="Z21" s="10" t="d">
        <x:v>2026-10-19T00:00:00.000Z</x:v>
      </x:c>
      <x:c r="AA21" s="7" t="str">
        <x:v>https://www.linkedin.com/posts/agridibu_fully-funded-phd-opportunity-in-canada-share-7506631135465078784-vqL2</x:v>
      </x:c>
      <x:c r="AB21" s="7" t="str"/>
      <x:c r="AC21" s="7" t="str"/>
      <x:c r="AD21" s="1"/>
      <x:c r="AE21" s="1"/>
    </x:row>
    <x:row r="22" ht="84" customHeight="1">
      <x:c r="A22" s="8" t="n">
        <x:v>17</x:v>
      </x:c>
      <x:c r="B22" s="8" t="str">
        <x:v>ELLIS participating institutions</x:v>
      </x:c>
      <x:c r="C22" s="8" t="str">
        <x:v>Europe — multiple</x:v>
      </x:c>
      <x:c r="D22" s="8" t="str">
        <x:v>Select participating supervisors</x:v>
      </x:c>
      <x:c r="E22" s="8" t="str">
        <x:v>PhD programme network</x:v>
      </x:c>
      <x:c r="F22" s="8" t="str">
        <x:v>Strong</x:v>
      </x:c>
      <x:c r="G22" s="8" t="str">
        <x:v>Urgent</x:v>
      </x:c>
      <x:c r="H22" s="8" t="str">
        <x:v>ML; vision; trustworthy AI; robotics (advisor-specific)</x:v>
      </x:c>
      <x:c r="I22" s="8" t="str">
        <x:v>Official 2026 call verified</x:v>
      </x:c>
      <x:c r="J22" s="8" t="str">
        <x:v>Host-specific funding/employment; no universal stipend or tuition guarantee</x:v>
      </x:c>
      <x:c r="K22" s="8" t="str">
        <x:v>2027; host-dependent</x:v>
      </x:c>
      <x:c r="L22" s="9" t="d">
        <x:v>2026-10-31T00:00:00.000Z</x:v>
      </x:c>
      <x:c r="M22" s="8" t="str">
        <x:v>23:59 Anywhere on Earth; references requested by application cutoff</x:v>
      </x:c>
      <x:c r="N22" s="13" t="n">
        <x:f>IF(L22="","",L22-Shortlist!$B$4)</x:f>
        <x:v>12</x:v>
      </x:c>
      <x:c r="O22" s="8" t="str">
        <x:v>Host-specific degree rules; do not assume unfinished MSc is sufficient</x:v>
      </x:c>
      <x:c r="P22" s="8" t="str">
        <x:v>Programme minimum bands not verified; compare W6/S6.5/L8.5/R9 with current policy</x:v>
      </x:c>
      <x:c r="Q22" s="8" t="str">
        <x:v>Not verified; do not treat as free</x:v>
      </x:c>
      <x:c r="R22" s="8" t="str">
        <x:v>ELLIS application portal</x:v>
      </x:c>
      <x:c r="S22" s="8" t="str">
        <x:v>CV; 2-page motivation/research statement; transcripts; 2–3 referees; optional portfolio</x:v>
      </x:c>
      <x:c r="T22" s="8" t="str">
        <x:v>Lets you target multiple relevant ML/vision supervisors with one initial application</x:v>
      </x:c>
      <x:c r="U22" s="8" t="str">
        <x:v>Must choose advisors actually listed this year and check local eligibility</x:v>
      </x:c>
      <x:c r="V22" s="8" t="str">
        <x:v>Choose 3–5 fitting advisors; request references now; letters due Nov 25, 23:59 AoE</x:v>
      </x:c>
      <x:c r="W22" s="14" t="str">
        <x:v>Not started</x:v>
      </x:c>
      <x:c r="X22" s="15"/>
      <x:c r="Y22" s="15"/>
      <x:c r="Z22" s="9" t="d">
        <x:v>2026-10-19T00:00:00.000Z</x:v>
      </x:c>
      <x:c r="AA22" s="8" t="str">
        <x:v>https://www.linkedin.com/posts/ellis-phd-program-3-tracks-overview-ugcPost-7512906565822205952-GhhD</x:v>
      </x:c>
      <x:c r="AB22" s="8" t="str">
        <x:v>https://ellis.eu/news/ellis-phd-program-call-for-applications-2026</x:v>
      </x:c>
      <x:c r="AC22" s="8" t="str"/>
      <x:c r="AD22" s="1"/>
      <x:c r="AE22" s="1"/>
    </x:row>
    <x:row r="23" ht="84" customHeight="1">
      <x:c r="A23" s="7" t="n">
        <x:v>18</x:v>
      </x:c>
      <x:c r="B23" s="7" t="str">
        <x:v>University of Florida</x:v>
      </x:c>
      <x:c r="C23" s="7" t="str">
        <x:v>USA</x:v>
      </x:c>
      <x:c r="D23" s="7" t="str">
        <x:v>Sumit Kumar Jha</x:v>
      </x:c>
      <x:c r="E23" s="7" t="str">
        <x:v>PhD lead</x:v>
      </x:c>
      <x:c r="F23" s="7" t="str">
        <x:v>Strong</x:v>
      </x:c>
      <x:c r="G23" s="7" t="str">
        <x:v>Verify first</x:v>
      </x:c>
      <x:c r="H23" s="7" t="str">
        <x:v>Trustworthy AI; formal methods; interpretable/verifiable systems</x:v>
      </x:c>
      <x:c r="I23" s="7" t="str">
        <x:v>Research verified; retrieved recruitment ad was Fall 2026</x:v>
      </x:c>
      <x:c r="J23" s="7" t="str">
        <x:v>Old funded call does not confirm a Fall 2027 offer</x:v>
      </x:c>
      <x:c r="K23" s="7" t="str">
        <x:v>Ask about Fall 2027</x:v>
      </x:c>
      <x:c r="L23" s="10"/>
      <x:c r="M23" s="7" t="str"/>
      <x:c r="N23" s="13" t="str">
        <x:f>IF(L23="","",L23-Shortlist!$B$4)</x:f>
      </x:c>
      <x:c r="O23" s="7" t="str">
        <x:v>Current degree/programme requirements unverified</x:v>
      </x:c>
      <x:c r="P23" s="7" t="str">
        <x:v>Programme minimum bands not verified; compare W6/S6.5/L8.5/R9 with current policy</x:v>
      </x:c>
      <x:c r="Q23" s="7" t="str">
        <x:v>Not verified; do not treat as free</x:v>
      </x:c>
      <x:c r="R23" s="7" t="str">
        <x:v>sumit.jha@ufl.edu</x:v>
      </x:c>
      <x:c r="S23" s="7" t="str">
        <x:v>CV + HiLRP; ask current doctoral openings</x:v>
      </x:c>
      <x:c r="T23" s="7" t="str">
        <x:v>Strong connection from explanation reliability to verified AI and agents</x:v>
      </x:c>
      <x:c r="U23" s="7" t="str">
        <x:v>Formal verification background needs development; exact current call missing</x:v>
      </x:c>
      <x:c r="V23" s="7" t="str">
        <x:v>Confirm 2027 funding and a project linking explanations to verification</x:v>
      </x:c>
      <x:c r="W23" s="14" t="str">
        <x:v>Not started</x:v>
      </x:c>
      <x:c r="X23" s="15"/>
      <x:c r="Y23" s="15"/>
      <x:c r="Z23" s="10" t="d">
        <x:v>2026-10-19T00:00:00.000Z</x:v>
      </x:c>
      <x:c r="AA23" s="7" t="str">
        <x:v>https://www.linkedin.com/posts/sumit-kumar-jha-572a45180_phd-gradschool-engineering-share-7515488336354988032-YCE_</x:v>
      </x:c>
      <x:c r="AB23" s="7" t="str">
        <x:v>https://sumitkumarjha.com/</x:v>
      </x:c>
      <x:c r="AC23" s="7" t="str">
        <x:v>https://www.linkedin.com/posts/sumit-kumar-jha-572a45180_phdpositions-ai-trustworthyai-activity-7394214324984127488-3Ly9</x:v>
      </x:c>
      <x:c r="AD23" s="1"/>
      <x:c r="AE23" s="1"/>
    </x:row>
    <x:row r="24" ht="84" customHeight="1">
      <x:c r="A24" s="8" t="n">
        <x:v>19</x:v>
      </x:c>
      <x:c r="B24" s="8" t="str">
        <x:v>ETH Zurich — AI Center</x:v>
      </x:c>
      <x:c r="C24" s="8" t="str">
        <x:v>Switzerland</x:v>
      </x:c>
      <x:c r="D24" s="8" t="str">
        <x:v>Two participating supervisors</x:v>
      </x:c>
      <x:c r="E24" s="8" t="str">
        <x:v>Doctoral fellowship</x:v>
      </x:c>
      <x:c r="F24" s="8" t="str">
        <x:v>Strong</x:v>
      </x:c>
      <x:c r="G24" s="8" t="str">
        <x:v>Urgent / conditional</x:v>
      </x:c>
      <x:c r="H24" s="8" t="str">
        <x:v>Interdisciplinary AI; trustworthy AI; perception/robotics</x:v>
      </x:c>
      <x:c r="I24" s="8" t="str">
        <x:v>Official 2027 fellowship verified</x:v>
      </x:c>
      <x:c r="J24" s="8" t="str">
        <x:v>Gross CHF 73,100 / 78,300 / 83,500 in years 1 / 2 / 3</x:v>
      </x:c>
      <x:c r="K24" s="8" t="str">
        <x:v>Usually September 2027; flexible</x:v>
      </x:c>
      <x:c r="L24" s="9" t="d">
        <x:v>2026-10-27T00:00:00.000Z</x:v>
      </x:c>
      <x:c r="M24" s="8" t="str">
        <x:v>16:00 CET; reference letters Nov 2, 23:59 CET</x:v>
      </x:c>
      <x:c r="N24" s="13" t="n">
        <x:f>IF(L24="","",L24-Shortlist!$B$4)</x:f>
        <x:v>8</x:v>
      </x:c>
      <x:c r="O24" s="8" t="str">
        <x:v>MSc completed at least 3 months before start; latest June 2027 for this call</x:v>
      </x:c>
      <x:c r="P24" s="8" t="str">
        <x:v>Programme minimum bands not verified; compare W6/S6.5/L8.5/R9 with current policy</x:v>
      </x:c>
      <x:c r="Q24" s="8" t="str">
        <x:v>Not verified; do not treat as free</x:v>
      </x:c>
      <x:c r="R24" s="8" t="str">
        <x:v>Official fellowship portal only</x:v>
      </x:c>
      <x:c r="S24" s="8" t="str">
        <x:v>CV; motivation; video; degree/transcripts; 3 referees; verify portal checklist</x:v>
      </x:c>
      <x:c r="T24" s="8" t="str">
        <x:v>Strong interdisciplinary route connecting uncertainty, perception and sensing</x:v>
      </x:c>
      <x:c r="U24" s="8" t="str">
        <x:v>Your one-year MSc may finish after June 2027; eligibility must be settled first</x:v>
      </x:c>
      <x:c r="V24" s="8" t="str">
        <x:v>Confirm whether early MSc completion by June is possible before applying</x:v>
      </x:c>
      <x:c r="W24" s="14" t="str">
        <x:v>Not started</x:v>
      </x:c>
      <x:c r="X24" s="15"/>
      <x:c r="Y24" s="15"/>
      <x:c r="Z24" s="9" t="d">
        <x:v>2026-10-19T00:00:00.000Z</x:v>
      </x:c>
      <x:c r="AA24" s="8" t="str">
        <x:v>https://www.linkedin.com/posts/careeraidhub_ethzurich-ethaicenter-phdfellowship-share-7515655009418637312-ut5P</x:v>
      </x:c>
      <x:c r="AB24" s="8" t="str">
        <x:v>https://ai.ethz.ch/research/phd-and-postdoc-programs/phd-fellowships.html</x:v>
      </x:c>
      <x:c r="AC24" s="8" t="str">
        <x:v>https://ai.ethz.ch/research/phd-and-postdoc-programs/fellowship-faqs.html</x:v>
      </x:c>
      <x:c r="AD24" s="1"/>
      <x:c r="AE24" s="1"/>
    </x:row>
    <x:row r="25" ht="84" customHeight="1">
      <x:c r="A25" s="7" t="n">
        <x:v>20</x:v>
      </x:c>
      <x:c r="B25" s="7" t="str">
        <x:v>Unidentified South Korean university</x:v>
      </x:c>
      <x:c r="C25" s="7" t="str">
        <x:v>South Korea</x:v>
      </x:c>
      <x:c r="D25" s="7" t="str">
        <x:v>Reposted by Mohsin Ihsan</x:v>
      </x:c>
      <x:c r="E25" s="7" t="str">
        <x:v>Master’s scholarship lead</x:v>
      </x:c>
      <x:c r="F25" s="7" t="str">
        <x:v>Unknown</x:v>
      </x:c>
      <x:c r="G25" s="7" t="str">
        <x:v>Not PhD / unresolved</x:v>
      </x:c>
      <x:c r="H25" s="7" t="str">
        <x:v>Unknown</x:v>
      </x:c>
      <x:c r="I25" s="7" t="str">
        <x:v>Exact post unavailable; appears to advertise master’s study</x:v>
      </x:c>
      <x:c r="J25" s="7" t="str">
        <x:v>Unverified</x:v>
      </x:c>
      <x:c r="K25" s="7" t="str">
        <x:v>Unknown</x:v>
      </x:c>
      <x:c r="L25" s="10"/>
      <x:c r="M25" s="7" t="str"/>
      <x:c r="N25" s="13" t="str">
        <x:f>IF(L25="","",L25-Shortlist!$B$4)</x:f>
      </x:c>
      <x:c r="O25" s="7" t="str">
        <x:v>Unknown</x:v>
      </x:c>
      <x:c r="P25" s="7" t="str">
        <x:v>Programme minimum bands not verified; compare W6/S6.5/L8.5/R9 with current policy</x:v>
      </x:c>
      <x:c r="Q25" s="7" t="str">
        <x:v>Not verified; do not treat as free</x:v>
      </x:c>
      <x:c r="R25" s="7" t="str"/>
      <x:c r="S25" s="7" t="str">
        <x:v>Original post text required</x:v>
      </x:c>
      <x:c r="T25" s="7" t="str">
        <x:v>Could support funded research MSc goal if relevant</x:v>
      </x:c>
      <x:c r="U25" s="7" t="str">
        <x:v>Degree type and scholarship details unresolved</x:v>
      </x:c>
      <x:c r="V25" s="7" t="str">
        <x:v>Identify institution and research-track funding first</x:v>
      </x:c>
      <x:c r="W25" s="14" t="str">
        <x:v>Not started</x:v>
      </x:c>
      <x:c r="X25" s="15"/>
      <x:c r="Y25" s="15"/>
      <x:c r="Z25" s="10" t="d">
        <x:v>2026-10-19T00:00:00.000Z</x:v>
      </x:c>
      <x:c r="AA25" s="7" t="str">
        <x:v>https://www.linkedin.com/posts/mohsin-ihsan-5221351b3_scholarshipgoat-mastersdegree-southkorea-share-7515637512166473729-OvzF</x:v>
      </x:c>
      <x:c r="AB25" s="7" t="str"/>
      <x:c r="AC25" s="7" t="str"/>
      <x:c r="AD25" s="1"/>
      <x:c r="AE25" s="1"/>
    </x:row>
    <x:row r="26" ht="84" customHeight="1">
      <x:c r="A26" s="8" t="n">
        <x:v>21</x:v>
      </x:c>
      <x:c r="B26" s="8" t="str">
        <x:v>National University of Singapore — Mechanical Engineering</x:v>
      </x:c>
      <x:c r="C26" s="8" t="str">
        <x:v>Singapore</x:v>
      </x:c>
      <x:c r="D26" s="8" t="str">
        <x:v>Daniel Gehrig</x:v>
      </x:c>
      <x:c r="E26" s="8" t="str">
        <x:v>PhD recruitment</x:v>
      </x:c>
      <x:c r="F26" s="8" t="str">
        <x:v>Strong</x:v>
      </x:c>
      <x:c r="G26" s="8" t="str">
        <x:v>Contact now</x:v>
      </x:c>
      <x:c r="H26" s="8" t="str">
        <x:v>Adaptive sensing; efficient ML; event cameras; embodied intelligence</x:v>
      </x:c>
      <x:c r="I26" s="8" t="str">
        <x:v>Exact supplied recruitment post retrieved</x:v>
      </x:c>
      <x:c r="J26" s="8" t="str">
        <x:v>Funding not specified in retrieved post; confirm scholarship/RA package</x:v>
      </x:c>
      <x:c r="K26" s="8" t="str">
        <x:v>August 2027</x:v>
      </x:c>
      <x:c r="L26" s="9"/>
      <x:c r="M26" s="8" t="str">
        <x:v>No deadline listed in post</x:v>
      </x:c>
      <x:c r="N26" s="13" t="str">
        <x:f>IF(L26="","",L26-Shortlist!$B$4)</x:f>
      </x:c>
      <x:c r="O26" s="8" t="str">
        <x:v>Strong mathematics + implementation; formal NUS requirements apply</x:v>
      </x:c>
      <x:c r="P26" s="8" t="str">
        <x:v>Programme minimum bands not verified; compare W6/S6.5/L8.5/R9 with current policy</x:v>
      </x:c>
      <x:c r="Q26" s="8" t="str">
        <x:v>Not verified; do not treat as free</x:v>
      </x:c>
      <x:c r="R26" s="8" t="str">
        <x:v>Contact via PI site / recruitment post</x:v>
      </x:c>
      <x:c r="S26" s="8" t="str">
        <x:v>CV; transcripts; 2–3 short paragraphs on past work, interests and motivation. Subject: [PhD Application 2027] Your Name</x:v>
      </x:c>
      <x:c r="T26" s="8" t="str">
        <x:v>Best link between your sampling uncertainty problem and future hardware/sensing interests</x:v>
      </x:c>
      <x:c r="U26" s="8" t="str">
        <x:v>Event-camera/robotics experience is a learning need; funding not yet confirmed</x:v>
      </x:c>
      <x:c r="V26" s="8" t="str">
        <x:v>Pitch uncertainty-aware adaptive sensing using your UAV sampling experience</x:v>
      </x:c>
      <x:c r="W26" s="14" t="str">
        <x:v>Not started</x:v>
      </x:c>
      <x:c r="X26" s="15"/>
      <x:c r="Y26" s="15"/>
      <x:c r="Z26" s="9" t="d">
        <x:v>2026-10-19T00:00:00.000Z</x:v>
      </x:c>
      <x:c r="AA26" s="8" t="str">
        <x:v>https://www.linkedin.com/posts/daniel-gehrig-942aa714b_phd-robotperception-eventcameras-share-7514061971047055360-MTP1</x:v>
      </x:c>
      <x:c r="AB26" s="8" t="str">
        <x:v>https://danielgehrig18.github.io/</x:v>
      </x:c>
      <x:c r="AC26" s="8" t="str"/>
      <x:c r="AD26" s="1"/>
      <x:c r="AE26" s="1"/>
    </x:row>
    <x:row r="27" ht="84" customHeight="1">
      <x:c r="A27" s="7" t="n">
        <x:v>22</x:v>
      </x:c>
      <x:c r="B27" s="7" t="str">
        <x:v>University of Colorado Colorado Springs</x:v>
      </x:c>
      <x:c r="C27" s="7" t="str">
        <x:v>USA</x:v>
      </x:c>
      <x:c r="D27" s="7" t="str">
        <x:v>Amit Kumar Das</x:v>
      </x:c>
      <x:c r="E27" s="7" t="str">
        <x:v>1–2 funded PhDs</x:v>
      </x:c>
      <x:c r="F27" s="7" t="str">
        <x:v>Good</x:v>
      </x:c>
      <x:c r="G27" s="7" t="str">
        <x:v>Contact now</x:v>
      </x:c>
      <x:c r="H27" s="7" t="str">
        <x:v>NLP / LLMs; data visualisation; human–AI interaction</x:v>
      </x:c>
      <x:c r="I27" s="7" t="str">
        <x:v>Exact supplied recruitment post retrieved</x:v>
      </x:c>
      <x:c r="J27" s="7" t="str">
        <x:v>Full GRA/GTA funding advertised; confirm stipend, fees and duration</x:v>
      </x:c>
      <x:c r="K27" s="7" t="str">
        <x:v>Fall 2027 or Spring 2028</x:v>
      </x:c>
      <x:c r="L27" s="10"/>
      <x:c r="M27" s="7" t="str">
        <x:v>No deadline listed</x:v>
      </x:c>
      <x:c r="N27" s="13" t="str">
        <x:f>IF(L27="","",L27-Shortlist!$B$4)</x:f>
      </x:c>
      <x:c r="O27" s="7" t="str">
        <x:v>BS or MS in CS/CE/related; Python/PyTorch or D3; probability</x:v>
      </x:c>
      <x:c r="P27" s="7" t="str">
        <x:v>Programme minimum bands not verified; compare W6/S6.5/L8.5/R9 with current policy</x:v>
      </x:c>
      <x:c r="Q27" s="7" t="str">
        <x:v>Not verified; do not treat as free</x:v>
      </x:c>
      <x:c r="R27" s="7" t="str">
        <x:v>amitkdas@uccs.edu</x:v>
      </x:c>
      <x:c r="S27" s="7" t="str">
        <x:v>CV; unofficial transcripts; available GRE/TOEFL; short interests. Subject: Prospective PhD Student_UCCS: [Your Name]</x:v>
      </x:c>
      <x:c r="T27" s="7" t="str">
        <x:v>XAI and teaching experience can support human–AI understanding</x:v>
      </x:c>
      <x:c r="U27" s="7" t="str">
        <x:v>Spatial perception is not the main advertised focus</x:v>
      </x:c>
      <x:c r="V27" s="7" t="str">
        <x:v>Email fit enquiry; formal application follows PI assessment</x:v>
      </x:c>
      <x:c r="W27" s="14" t="str">
        <x:v>Not started</x:v>
      </x:c>
      <x:c r="X27" s="15"/>
      <x:c r="Y27" s="15"/>
      <x:c r="Z27" s="10" t="d">
        <x:v>2026-10-19T00:00:00.000Z</x:v>
      </x:c>
      <x:c r="AA27" s="7" t="str">
        <x:v>https://www.linkedin.com/posts/amit-kumar-das-191ba51b_phd-phdposition-gradschool-share-7513917840098373632-kPro</x:v>
      </x:c>
      <x:c r="AB27" s="7" t="str">
        <x:v>https://amitkdas-08.github.io/</x:v>
      </x:c>
      <x:c r="AC27" s="7" t="str"/>
      <x:c r="AD27" s="1"/>
      <x:c r="AE27" s="1"/>
    </x:row>
    <x:row r="28" ht="84" customHeight="1">
      <x:c r="A28" s="8" t="n">
        <x:v>23</x:v>
      </x:c>
      <x:c r="B28" s="8" t="str">
        <x:v>National University of Singapore — MAGIC Lab</x:v>
      </x:c>
      <x:c r="C28" s="8" t="str">
        <x:v>Singapore</x:v>
      </x:c>
      <x:c r="D28" s="8" t="str">
        <x:v>Jiafei Duan</x:v>
      </x:c>
      <x:c r="E28" s="8" t="str">
        <x:v>PhD / RA recruitment</x:v>
      </x:c>
      <x:c r="F28" s="8" t="str">
        <x:v>Strong</x:v>
      </x:c>
      <x:c r="G28" s="8" t="str">
        <x:v>Contact now</x:v>
      </x:c>
      <x:c r="H28" s="8" t="str">
        <x:v>3D vision; multimodal reasoning; robot learning; dexterous manipulation</x:v>
      </x:c>
      <x:c r="I28" s="8" t="str">
        <x:v>Active official lab recruitment verified</x:v>
      </x:c>
      <x:c r="J28" s="8" t="str">
        <x:v>Full funding advertised for PhD, RA and postdoc roles; confirm terms</x:v>
      </x:c>
      <x:c r="K28" s="8" t="str">
        <x:v>2027 availability to confirm</x:v>
      </x:c>
      <x:c r="L28" s="9"/>
      <x:c r="M28" s="8" t="str">
        <x:v>No deadline listed on lab page</x:v>
      </x:c>
      <x:c r="N28" s="13" t="str">
        <x:f>IF(L28="","",L28-Shortlist!$B$4)</x:f>
      </x:c>
      <x:c r="O28" s="8" t="str">
        <x:v>Prior robotics experience not required; formal NUS admission requirements apply</x:v>
      </x:c>
      <x:c r="P28" s="8" t="str">
        <x:v>Programme minimum bands not verified; compare W6/S6.5/L8.5/R9 with current policy</x:v>
      </x:c>
      <x:c r="Q28" s="8" t="str">
        <x:v>Not verified; do not treat as free</x:v>
      </x:c>
      <x:c r="R28" s="8" t="str">
        <x:v>duanj1@cs.washington.edu (still listed by lab)</x:v>
      </x:c>
      <x:c r="S28" s="8" t="str">
        <x:v>Complete lab interest form first, then email; CV + relevant work</x:v>
      </x:c>
      <x:c r="T28" s="8" t="str">
        <x:v>Closest match to spatial reasoning, VLM/VLA and embodied-AI goals</x:v>
      </x:c>
      <x:c r="U28" s="8" t="str">
        <x:v>Need to show a concrete research question beyond a generic robotics interest</x:v>
      </x:c>
      <x:c r="V28" s="8" t="str">
        <x:v>Pitch uncertainty/explanations for spatial reasoning; read AHA and RoboPoint</x:v>
      </x:c>
      <x:c r="W28" s="14" t="str">
        <x:v>Not started</x:v>
      </x:c>
      <x:c r="X28" s="15"/>
      <x:c r="Y28" s="15"/>
      <x:c r="Z28" s="9" t="d">
        <x:v>2026-10-19T00:00:00.000Z</x:v>
      </x:c>
      <x:c r="AA28" s="8" t="str">
        <x:v>https://www.linkedin.com/posts/jiafei-duan-a69b11112_were-hiring-at-magic-lab-nus-my-lab-share-7514498720458080256-K7aj</x:v>
      </x:c>
      <x:c r="AB28" s="8" t="str">
        <x:v>https://magic-ailab.github.io/</x:v>
      </x:c>
      <x:c r="AC28" s="8" t="str"/>
      <x:c r="AD28" s="1"/>
      <x:c r="AE28" s="1"/>
    </x:row>
    <x:row r="29" ht="84" customHeight="1">
      <x:c r="A29" s="7" t="n">
        <x:v>24</x:v>
      </x:c>
      <x:c r="B29" s="7" t="str">
        <x:v>National University of Singapore — scheme unidentified</x:v>
      </x:c>
      <x:c r="C29" s="7" t="str">
        <x:v>Singapore</x:v>
      </x:c>
      <x:c r="D29" s="7" t="str">
        <x:v>Reposted by Chandana Gamage</x:v>
      </x:c>
      <x:c r="E29" s="7" t="str">
        <x:v>Scholarship announcement</x:v>
      </x:c>
      <x:c r="F29" s="7" t="str">
        <x:v>Unknown</x:v>
      </x:c>
      <x:c r="G29" s="7" t="str">
        <x:v>Verify first</x:v>
      </x:c>
      <x:c r="H29" s="7" t="str">
        <x:v>Not specified</x:v>
      </x:c>
      <x:c r="I29" s="7" t="str">
        <x:v>Indexed description mentions Sri Lankan PhD applicants; exact scheme unresolved</x:v>
      </x:c>
      <x:c r="J29" s="7" t="str">
        <x:v>Scholarship terms and eligibility unverified</x:v>
      </x:c>
      <x:c r="K29" s="7" t="str">
        <x:v>Unknown</x:v>
      </x:c>
      <x:c r="L29" s="10"/>
      <x:c r="M29" s="7" t="str"/>
      <x:c r="N29" s="13" t="str">
        <x:f>IF(L29="","",L29-Shortlist!$B$4)</x:f>
      </x:c>
      <x:c r="O29" s="7" t="str">
        <x:v>Sri Lankan eligibility suggested; official scheme required</x:v>
      </x:c>
      <x:c r="P29" s="7" t="str">
        <x:v>Programme minimum bands not verified; compare W6/S6.5/L8.5/R9 with current policy</x:v>
      </x:c>
      <x:c r="Q29" s="7" t="str">
        <x:v>Not verified; do not treat as free</x:v>
      </x:c>
      <x:c r="R29" s="7" t="str"/>
      <x:c r="S29" s="7" t="str">
        <x:v>Get original scholarship notice</x:v>
      </x:c>
      <x:c r="T29" s="7" t="str">
        <x:v>Potentially useful citizenship-specific funding route</x:v>
      </x:c>
      <x:c r="U29" s="7" t="str">
        <x:v>May overlap NUS leads; cannot assume separate award or vacancy</x:v>
      </x:c>
      <x:c r="V29" s="7" t="str">
        <x:v>Identify named scheme and verify official application process</x:v>
      </x:c>
      <x:c r="W29" s="14" t="str">
        <x:v>Not started</x:v>
      </x:c>
      <x:c r="X29" s="15"/>
      <x:c r="Y29" s="15"/>
      <x:c r="Z29" s="10" t="d">
        <x:v>2026-10-19T00:00:00.000Z</x:v>
      </x:c>
      <x:c r="AA29" s="7" t="str">
        <x:v>https://www.linkedin.com/posts/chandanagamage_phd-scholarship-opportunities-for-sri-lankan-share-7514736336814157824-IeFO</x:v>
      </x:c>
      <x:c r="AB29" s="7" t="str"/>
      <x:c r="AC29" s="7" t="str"/>
      <x:c r="AD29" s="1"/>
      <x:c r="AE29" s="1"/>
    </x:row>
    <x:row r="30" ht="84" customHeight="1">
      <x:c r="A30" s="8" t="n">
        <x:v>25</x:v>
      </x:c>
      <x:c r="B30" s="8" t="str">
        <x:v>University of Cambridge — van der Schaar Lab</x:v>
      </x:c>
      <x:c r="C30" s="8" t="str">
        <x:v>UK</x:v>
      </x:c>
      <x:c r="D30" s="8" t="str">
        <x:v>Mihaela van der Schaar</x:v>
      </x:c>
      <x:c r="E30" s="8" t="str">
        <x:v>PhD recruitment</x:v>
      </x:c>
      <x:c r="F30" s="8" t="str">
        <x:v>Strong</x:v>
      </x:c>
      <x:c r="G30" s="8" t="str">
        <x:v>Confirm route</x:v>
      </x:c>
      <x:c r="H30" s="8" t="str">
        <x:v>ML for medicine; uncertainty; explainability; decision making</x:v>
      </x:c>
      <x:c r="I30" s="8" t="str">
        <x:v>Homepage says 2027 OPEN; join page has contradictory general-call wording</x:v>
      </x:c>
      <x:c r="J30" s="8" t="str">
        <x:v>Lab states 4 years, fees for Home/international + living stipend; confirm specific offer</x:v>
      </x:c>
      <x:c r="K30" s="8" t="str">
        <x:v>October 2027</x:v>
      </x:c>
      <x:c r="L30" s="9"/>
      <x:c r="M30" s="8" t="str">
        <x:v>Exact route deadline not verified</x:v>
      </x:c>
      <x:c r="N30" s="13" t="str">
        <x:f>IF(L30="","",L30-Shortlist!$B$4)</x:f>
      </x:c>
      <x:c r="O30" s="8" t="str">
        <x:v>Excellent quantitative degree; MSc or equivalent research/work experience preferred</x:v>
      </x:c>
      <x:c r="P30" s="8" t="str">
        <x:v>Programme minimum bands not verified; compare W6/S6.5/L8.5/R9 with current policy</x:v>
      </x:c>
      <x:c r="Q30" s="8" t="str">
        <x:v>Not verified; do not treat as free</x:v>
      </x:c>
      <x:c r="R30" s="8" t="str">
        <x:v>Lab interest form</x:v>
      </x:c>
      <x:c r="S30" s="8" t="str">
        <x:v>CV + publications/code + experience and research-interest fields; await lab follow-up</x:v>
      </x:c>
      <x:c r="T30" s="8" t="str">
        <x:v>Strong use of HiLRP and medical-image SSL record</x:v>
      </x:c>
      <x:c r="U30" s="8" t="str">
        <x:v>Separate Imperial/Schwarz joint call is also advertised; do not confuse institutions</x:v>
      </x:c>
      <x:c r="V30" s="8" t="str">
        <x:v>Use lab form and confirm general Cambridge 2027 route and current deadline</x:v>
      </x:c>
      <x:c r="W30" s="14" t="str">
        <x:v>Not started</x:v>
      </x:c>
      <x:c r="X30" s="15"/>
      <x:c r="Y30" s="15"/>
      <x:c r="Z30" s="9" t="d">
        <x:v>2026-10-19T00:00:00.000Z</x:v>
      </x:c>
      <x:c r="AA30" s="8" t="str">
        <x:v>https://www.linkedin.com/posts/mihaela-van-der-schaar_im-delighted-to-open-applications-for-another-share-7513523958680461313-_L_l</x:v>
      </x:c>
      <x:c r="AB30" s="8" t="str">
        <x:v>https://www.vanderschaar-lab.com/join-the-van-der-schaar-lab/</x:v>
      </x:c>
      <x:c r="AC30" s="8" t="str">
        <x:v>https://www.vanderschaar-lab.com/</x:v>
      </x:c>
      <x:c r="AD30" s="1"/>
      <x:c r="AE30" s="1"/>
    </x:row>
    <x:row r="31" ht="84" customHeight="1">
      <x:c r="A31" s="7" t="n">
        <x:v>26</x:v>
      </x:c>
      <x:c r="B31" s="7" t="str">
        <x:v>City University of Hong Kong</x:v>
      </x:c>
      <x:c r="C31" s="7" t="str">
        <x:v>Hong Kong</x:v>
      </x:c>
      <x:c r="D31" s="7" t="str">
        <x:v>Tanghua Li</x:v>
      </x:c>
      <x:c r="E31" s="7" t="str">
        <x:v>Graduate / RA recruitment</x:v>
      </x:c>
      <x:c r="F31" s="7" t="str">
        <x:v>Adjacent</x:v>
      </x:c>
      <x:c r="G31" s="7" t="str">
        <x:v>Secondary</x:v>
      </x:c>
      <x:c r="H31" s="7" t="str">
        <x:v>Geophysics; climate/sea level; numerical Earth modelling</x:v>
      </x:c>
      <x:c r="I31" s="7" t="str">
        <x:v>Recruitment verified on PI site</x:v>
      </x:c>
      <x:c r="J31" s="7" t="str">
        <x:v>Studentship route linked; individual funding package unverified</x:v>
      </x:c>
      <x:c r="K31" s="7" t="str">
        <x:v>Confirm intake</x:v>
      </x:c>
      <x:c r="L31" s="10"/>
      <x:c r="M31" s="7" t="str"/>
      <x:c r="N31" s="13" t="str">
        <x:f>IF(L31="","",L31-Shortlist!$B$4)</x:f>
      </x:c>
      <x:c r="O31" s="7" t="str">
        <x:v>Relevant physics/maths/simulation/data skills preferred; programme requirements apply</x:v>
      </x:c>
      <x:c r="P31" s="7" t="str">
        <x:v>Programme minimum bands not verified; compare W6/S6.5/L8.5/R9 with current policy</x:v>
      </x:c>
      <x:c r="Q31" s="7" t="str">
        <x:v>Not verified; do not treat as free</x:v>
      </x:c>
      <x:c r="R31" s="7" t="str">
        <x:v>Tanghua.LI@cityu.edu.hk</x:v>
      </x:c>
      <x:c r="S31" s="7" t="str">
        <x:v>CV; transcripts; publications</x:v>
      </x:c>
      <x:c r="T31" s="7" t="str">
        <x:v>Environmental application and computational background transfer</x:v>
      </x:c>
      <x:c r="U31" s="7" t="str">
        <x:v>3D Earth modelling is not 3D visual perception; major geophysics shift</x:v>
      </x:c>
      <x:c r="V31" s="7" t="str">
        <x:v>Pursue only if you want geophysics; ask project and studentship details</x:v>
      </x:c>
      <x:c r="W31" s="14" t="str">
        <x:v>Not started</x:v>
      </x:c>
      <x:c r="X31" s="15"/>
      <x:c r="Y31" s="15"/>
      <x:c r="Z31" s="10" t="d">
        <x:v>2026-10-19T00:00:00.000Z</x:v>
      </x:c>
      <x:c r="AA31" s="7" t="str">
        <x:v>https://www.linkedin.com/posts/tanghua-li-a671bb266_phd-postdoc-hiring-share-7511958341804371968-A_vC</x:v>
      </x:c>
      <x:c r="AB31" s="7" t="str">
        <x:v>https://sites.google.com/view/tanghuali/home</x:v>
      </x:c>
      <x:c r="AC31" s="7" t="str"/>
      <x:c r="AD31" s="1"/>
      <x:c r="AE31" s="1"/>
    </x:row>
    <x:row r="32" ht="84" customHeight="1">
      <x:c r="A32" s="8" t="n">
        <x:v>27</x:v>
      </x:c>
      <x:c r="B32" s="8" t="str">
        <x:v>University of Edinburgh — Responsible NLP CDT</x:v>
      </x:c>
      <x:c r="C32" s="8" t="str">
        <x:v>UK</x:v>
      </x:c>
      <x:c r="D32" s="8" t="str">
        <x:v>CDT; select supervisors</x:v>
      </x:c>
      <x:c r="E32" s="8" t="str">
        <x:v>Integrated 4-year PhD</x:v>
      </x:c>
      <x:c r="F32" s="8" t="str">
        <x:v>Good</x:v>
      </x:c>
      <x:c r="G32" s="8" t="str">
        <x:v>Prepare</x:v>
      </x:c>
      <x:c r="H32" s="8" t="str">
        <x:v>Responsible / trustworthy NLP; interdisciplinary AI</x:v>
      </x:c>
      <x:c r="I32" s="8" t="str">
        <x:v>Official 2027 international call verified</x:v>
      </x:c>
      <x:c r="J32" s="8" t="str">
        <x:v>Tuition waived + standard UKRI stipend for Overseas; GBP 21,805 is 2026/27 reference rate, not guaranteed 2027/28 rate</x:v>
      </x:c>
      <x:c r="K32" s="8" t="str">
        <x:v>September 2027</x:v>
      </x:c>
      <x:c r="L32" s="9" t="d">
        <x:v>2026-11-30T00:00:00.000Z</x:v>
      </x:c>
      <x:c r="M32" s="8" t="str">
        <x:v>Midnight GMT; Stage 2 Jan 22, 2027, invitation only</x:v>
      </x:c>
      <x:c r="N32" s="13" t="n">
        <x:f>IF(L32="","",L32-Shortlist!$B$4)</x:f>
        <x:v>42</x:v>
      </x:c>
      <x:c r="O32" s="8" t="str">
        <x:v>Normally 2:1 bachelor and/or relevant master; exceptional research/work route possible</x:v>
      </x:c>
      <x:c r="P32" s="8" t="str">
        <x:v>Certification checked at Stage 2; verify required bands</x:v>
      </x:c>
      <x:c r="Q32" s="8" t="str">
        <x:v>Not verified; do not treat as free</x:v>
      </x:c>
      <x:c r="R32" s="8" t="str">
        <x:v>responsiblenlp@ed.ac.uk</x:v>
      </x:c>
      <x:c r="S32" s="8" t="str">
        <x:v>Stage 1 form; follow programme-specific prompts rather than generic PhD packet</x:v>
      </x:c>
      <x:c r="T32" s="8" t="str">
        <x:v>Strong responsible/explainable AI connection; computer engineering background is relevant</x:v>
      </x:c>
      <x:c r="U32" s="8" t="str">
        <x:v>Less direct 3D focus; international slots constrained; visa/IHS/relocation not covered</x:v>
      </x:c>
      <x:c r="V32" s="8" t="str">
        <x:v>Prepare trustworthy multimodal-language research pitch; English certification checked at Stage 2</x:v>
      </x:c>
      <x:c r="W32" s="14" t="str">
        <x:v>Not started</x:v>
      </x:c>
      <x:c r="X32" s="15"/>
      <x:c r="Y32" s="15"/>
      <x:c r="Z32" s="9" t="d">
        <x:v>2026-10-19T00:00:00.000Z</x:v>
      </x:c>
      <x:c r="AA32" s="8" t="str">
        <x:v>https://www.linkedin.com/posts/ahmed-basyoni-239444103_fullyfundedphd-naturallanguageprocessing-share-7513769792109961216-9Ymf</x:v>
      </x:c>
      <x:c r="AB32" s="8" t="str">
        <x:v>https://responsiblenlp.org/2027-studentships/</x:v>
      </x:c>
      <x:c r="AC32" s="8" t="str">
        <x:v>https://responsiblenlp.org/how-to-apply/ | https://responsiblenlp.org/frequently-asked-questions/</x:v>
      </x:c>
      <x:c r="AD32" s="1"/>
      <x:c r="AE32" s="1"/>
    </x:row>
    <x:row r="33" ht="84" customHeight="1">
      <x:c r="A33" s="7" t="n">
        <x:v>28</x:v>
      </x:c>
      <x:c r="B33" s="7" t="str">
        <x:v>Unidentified institution</x:v>
      </x:c>
      <x:c r="C33" s="7" t="str">
        <x:v>Unknown</x:v>
      </x:c>
      <x:c r="D33" s="7" t="str">
        <x:v>Poster unidentified</x:v>
      </x:c>
      <x:c r="E33" s="7" t="str">
        <x:v>Unverified PhD lead</x:v>
      </x:c>
      <x:c r="F33" s="7" t="str">
        <x:v>Unknown</x:v>
      </x:c>
      <x:c r="G33" s="7" t="str">
        <x:v>Unresolved</x:v>
      </x:c>
      <x:c r="H33" s="7" t="str">
        <x:v>Unknown</x:v>
      </x:c>
      <x:c r="I33" s="7" t="str">
        <x:v>Exact post unavailable; no reliable matching source</x:v>
      </x:c>
      <x:c r="J33" s="7" t="str">
        <x:v>Fully funded in URL wording only; not verified</x:v>
      </x:c>
      <x:c r="K33" s="7" t="str">
        <x:v>Unknown</x:v>
      </x:c>
      <x:c r="L33" s="10"/>
      <x:c r="M33" s="7" t="str"/>
      <x:c r="N33" s="13" t="str">
        <x:f>IF(L33="","",L33-Shortlist!$B$4)</x:f>
      </x:c>
      <x:c r="O33" s="7" t="str">
        <x:v>Unknown</x:v>
      </x:c>
      <x:c r="P33" s="7" t="str">
        <x:v>Programme minimum bands not verified; compare W6/S6.5/L8.5/R9 with current policy</x:v>
      </x:c>
      <x:c r="Q33" s="7" t="str">
        <x:v>Not verified; do not treat as free</x:v>
      </x:c>
      <x:c r="R33" s="7" t="str"/>
      <x:c r="S33" s="7" t="str">
        <x:v>Original post text required</x:v>
      </x:c>
      <x:c r="T33" s="7" t="str">
        <x:v>Cannot assess fit</x:v>
      </x:c>
      <x:c r="U33" s="7" t="str">
        <x:v>No institution, supervisor or project identified</x:v>
      </x:c>
      <x:c r="V33" s="7" t="str">
        <x:v>Retrieve post text; do not substitute unrelated search results</x:v>
      </x:c>
      <x:c r="W33" s="14" t="str">
        <x:v>Not started</x:v>
      </x:c>
      <x:c r="X33" s="15"/>
      <x:c r="Y33" s="15"/>
      <x:c r="Z33" s="10" t="d">
        <x:v>2026-10-19T00:00:00.000Z</x:v>
      </x:c>
      <x:c r="AA33" s="7" t="str">
        <x:v>https://www.linkedin.com/posts/multiple-fully-funded-phd-positions-in-share-7512577394852057088-9uey</x:v>
      </x:c>
      <x:c r="AB33" s="7" t="str"/>
      <x:c r="AC33" s="7" t="str"/>
      <x:c r="AD33" s="1"/>
      <x:c r="AE33" s="1"/>
    </x:row>
    <x:row r="34" ht="84" customHeight="1">
      <x:c r="A34" s="8" t="n">
        <x:v>29</x:v>
      </x:c>
      <x:c r="B34" s="8" t="str">
        <x:v>Unidentified employer / lab</x:v>
      </x:c>
      <x:c r="C34" s="8" t="str">
        <x:v>Unknown</x:v>
      </x:c>
      <x:c r="D34" s="8" t="str">
        <x:v>srvm (poster handle)</x:v>
      </x:c>
      <x:c r="E34" s="8" t="str">
        <x:v>PhD internship lead</x:v>
      </x:c>
      <x:c r="F34" s="8" t="str">
        <x:v>Unknown</x:v>
      </x:c>
      <x:c r="G34" s="8" t="str">
        <x:v>Not PhD / unresolved</x:v>
      </x:c>
      <x:c r="H34" s="8" t="str">
        <x:v>Deep-learning internship (from URL only)</x:v>
      </x:c>
      <x:c r="I34" s="8" t="str">
        <x:v>Exact post unavailable; degree studentship not established</x:v>
      </x:c>
      <x:c r="J34" s="8" t="str">
        <x:v>Unknown</x:v>
      </x:c>
      <x:c r="K34" s="8" t="str">
        <x:v>Unknown</x:v>
      </x:c>
      <x:c r="L34" s="9"/>
      <x:c r="M34" s="8" t="str"/>
      <x:c r="N34" s="13" t="str">
        <x:f>IF(L34="","",L34-Shortlist!$B$4)</x:f>
      </x:c>
      <x:c r="O34" s="8" t="str">
        <x:v>May require existing PhD enrolment; not verified</x:v>
      </x:c>
      <x:c r="P34" s="8" t="str">
        <x:v>Programme minimum bands not verified; compare W6/S6.5/L8.5/R9 with current policy</x:v>
      </x:c>
      <x:c r="Q34" s="8" t="str">
        <x:v>Not verified; do not treat as free</x:v>
      </x:c>
      <x:c r="R34" s="8" t="str"/>
      <x:c r="S34" s="8" t="str">
        <x:v>Original internship advert required</x:v>
      </x:c>
      <x:c r="T34" s="8" t="str">
        <x:v>Could support internship goal only if MSc applicants eligible</x:v>
      </x:c>
      <x:c r="U34" s="8" t="str">
        <x:v>You are an MSc student; PhD-intern eligibility may exclude you</x:v>
      </x:c>
      <x:c r="V34" s="8" t="str">
        <x:v>Identify employer and ask whether MSc students can apply</x:v>
      </x:c>
      <x:c r="W34" s="14" t="str">
        <x:v>Not started</x:v>
      </x:c>
      <x:c r="X34" s="15"/>
      <x:c r="Y34" s="15"/>
      <x:c r="Z34" s="9" t="d">
        <x:v>2026-10-19T00:00:00.000Z</x:v>
      </x:c>
      <x:c r="AA34" s="8" t="str">
        <x:v>https://www.linkedin.com/posts/srvm_were-hiring-phd-interns-for-the-deep-share-7513375570961838080-jTJe</x:v>
      </x:c>
      <x:c r="AB34" s="8" t="str"/>
      <x:c r="AC34" s="8" t="str"/>
      <x:c r="AD34" s="1"/>
      <x:c r="AE34" s="1"/>
    </x:row>
    <x:row r="35" ht="84" customHeight="1">
      <x:c r="A35" s="7" t="n">
        <x:v>30</x:v>
      </x:c>
      <x:c r="B35" s="7" t="str">
        <x:v>University of Galway</x:v>
      </x:c>
      <x:c r="C35" s="7" t="str">
        <x:v>Ireland</x:v>
      </x:c>
      <x:c r="D35" s="7" t="str">
        <x:v>Panpan Zhou</x:v>
      </x:c>
      <x:c r="E35" s="7" t="str">
        <x:v>Funded PhD</x:v>
      </x:c>
      <x:c r="F35" s="7" t="str">
        <x:v>Good</x:v>
      </x:c>
      <x:c r="G35" s="7" t="str">
        <x:v>Contact now</x:v>
      </x:c>
      <x:c r="H35" s="7" t="str">
        <x:v>Embodied AI; multi-agent systems; robot/UAV control; optimisation</x:v>
      </x:c>
      <x:c r="I35" s="7" t="str">
        <x:v>PI recruitment post and official profile corroborate research</x:v>
      </x:c>
      <x:c r="J35" s="7" t="str">
        <x:v>Fully funded advertised; amount, tuition coverage and duration to confirm</x:v>
      </x:c>
      <x:c r="K35" s="7" t="str">
        <x:v>September 2027 or earlier</x:v>
      </x:c>
      <x:c r="L35" s="10"/>
      <x:c r="M35" s="7" t="str">
        <x:v>No deadline retrieved</x:v>
      </x:c>
      <x:c r="N35" s="13" t="str">
        <x:f>IF(L35="","",L35-Shortlist!$B$4)</x:f>
      </x:c>
      <x:c r="O35" s="7" t="str">
        <x:v>Formal university requirements; control/optimisation preparation relevant</x:v>
      </x:c>
      <x:c r="P35" s="7" t="str">
        <x:v>Programme minimum bands not verified; compare W6/S6.5/L8.5/R9 with current policy</x:v>
      </x:c>
      <x:c r="Q35" s="7" t="str">
        <x:v>Not verified; do not treat as free</x:v>
      </x:c>
      <x:c r="R35" s="7" t="str">
        <x:v>panpan.zhou@universityofgalway.ie</x:v>
      </x:c>
      <x:c r="S35" s="7" t="str">
        <x:v>One PDF: CV, transcripts, available IELTS, representative work, brief proposal, 2 referee contacts</x:v>
      </x:c>
      <x:c r="T35" s="7" t="str">
        <x:v>Strong bridge from UAV work to embodied systems and uncertainty-aware decisions</x:v>
      </x:c>
      <x:c r="U35" s="7" t="str">
        <x:v>Substantial control/game-theory preparation may be needed</x:v>
      </x:c>
      <x:c r="V35" s="7" t="str">
        <x:v>Send focused proposal on reliable multi-agent sensing under sparse observations</x:v>
      </x:c>
      <x:c r="W35" s="14" t="str">
        <x:v>Not started</x:v>
      </x:c>
      <x:c r="X35" s="15"/>
      <x:c r="Y35" s="15"/>
      <x:c r="Z35" s="10" t="d">
        <x:v>2026-10-19T00:00:00.000Z</x:v>
      </x:c>
      <x:c r="AA35" s="7" t="str">
        <x:v>https://www.linkedin.com/posts/panpan-zhou-924950309_i-am-hiring-a-fully-funded-phd-candidate-share-7507419481212825600-8PVY</x:v>
      </x:c>
      <x:c r="AB35" s="7" t="str">
        <x:v>https://www.linkedin.com/posts/panpan-zhou-924950309_i-am-hiring-a-fully-funded-phd-candidate-activity-7507419483918196736-9jOI</x:v>
      </x:c>
      <x:c r="AC35" s="7" t="str">
        <x:v>https://research.universityofgalway.ie/en/persons/panpan-zhou/</x:v>
      </x:c>
      <x:c r="AD35" s="1"/>
      <x:c r="AE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</x:row>
  </x:sheetData>
  <x:conditionalFormatting sqref="F8:F35">
    <x:cfRule type="containsText" dxfId="2" priority="1" operator="containsText" text="Strong"/>
    <x:cfRule type="containsText" dxfId="3" priority="2" operator="containsText" text="Unknown"/>
  </x:conditionalFormatting>
  <x:conditionalFormatting sqref="N8:N35">
    <x:cfRule type="expression" dxfId="4" priority="3">
      <x:formula>AND(ISNUMBER(N8),N8&gt;=0,N8&lt;=14)</x:formula>
    </x:cfRule>
  </x:conditionalFormatting>
  <x:conditionalFormatting sqref="Y8:Y35">
    <x:cfRule type="expression" dxfId="5" priority="4">
      <x:formula>AND(ISNUMBER(Y8),Y8&lt;=Shortlist!$B$4,W8&lt;&gt;"Submitted",W8&lt;&gt;"Skip")</x:formula>
    </x:cfRule>
  </x:conditionalFormatting>
  <x:dataValidations count="1">
    <x:dataValidation type="list" sqref="W8:W35">
      <x:formula1>"Not started,Researching,Contacted,Preparing,Submitted,Interview,Offer,Rejected,Not eligible,Skip"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c7255fcedb4fc0"/>
  </x:tableParts>
</x:worksheet>
</file>